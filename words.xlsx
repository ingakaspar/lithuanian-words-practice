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stin\Downloads\"/>
    </mc:Choice>
  </mc:AlternateContent>
  <xr:revisionPtr revIDLastSave="0" documentId="13_ncr:1_{3E65F268-A4E7-47C1-BBB2-EE4E6C53ACCF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📌 Instructions" sheetId="1" r:id="rId1"/>
    <sheet name="📝 Vocabulary Test" sheetId="2" r:id="rId2"/>
    <sheet name="📊 Results" sheetId="3" r:id="rId3"/>
    <sheet name="🚀 Study Priorities" sheetId="4" r:id="rId4"/>
  </sheets>
  <definedNames>
    <definedName name="_xlnm._FilterDatabase" localSheetId="1" hidden="1">'📝 Vocabulary Test'!$A$1:$H$875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1atyCVm0cN6dNaEjUwCfqgzkNad7AmjyBnf5k4JM304="/>
    </ext>
  </extLst>
</workbook>
</file>

<file path=xl/calcChain.xml><?xml version="1.0" encoding="utf-8"?>
<calcChain xmlns="http://schemas.openxmlformats.org/spreadsheetml/2006/main">
  <c r="F41" i="3" l="1"/>
  <c r="E41" i="3"/>
  <c r="D41" i="3"/>
  <c r="C41" i="3"/>
  <c r="F40" i="3"/>
  <c r="E40" i="3"/>
  <c r="D40" i="3"/>
  <c r="C40" i="3"/>
  <c r="F39" i="3"/>
  <c r="E39" i="3"/>
  <c r="D39" i="3"/>
  <c r="C39" i="3"/>
  <c r="F38" i="3"/>
  <c r="E38" i="3"/>
  <c r="D38" i="3"/>
  <c r="C38" i="3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C10" i="3"/>
  <c r="C9" i="3"/>
  <c r="C8" i="3"/>
  <c r="C7" i="3"/>
  <c r="C12" i="3" s="1"/>
  <c r="G27" i="3" l="1"/>
  <c r="G30" i="3"/>
  <c r="G39" i="3"/>
  <c r="G22" i="3"/>
  <c r="G28" i="3"/>
  <c r="G31" i="3"/>
  <c r="G20" i="3"/>
  <c r="G23" i="3"/>
  <c r="G26" i="3"/>
  <c r="G29" i="3"/>
  <c r="G38" i="3"/>
  <c r="G41" i="3"/>
  <c r="G40" i="3"/>
  <c r="G25" i="3"/>
  <c r="G21" i="3"/>
  <c r="G24" i="3"/>
</calcChain>
</file>

<file path=xl/sharedStrings.xml><?xml version="1.0" encoding="utf-8"?>
<sst xmlns="http://schemas.openxmlformats.org/spreadsheetml/2006/main" count="4361" uniqueCount="1437">
  <si>
    <t>Make a copy of this spreadsheet before using.</t>
  </si>
  <si>
    <t>📝 A2 Lithuanian Vocabulary Self-Assessment Test</t>
  </si>
  <si>
    <t>HOW TO USE THIS TEST:</t>
  </si>
  <si>
    <t>1. Go to the "Vocabulary Test" sheet</t>
  </si>
  <si>
    <t>2. Filter "Tier" column for Tier 1</t>
  </si>
  <si>
    <t>2. Read each Lithuanian word</t>
  </si>
  <si>
    <t>3. In the "Know It?" column, select from dropdown:</t>
  </si>
  <si>
    <t xml:space="preserve">   ✓ = I know this word confidently</t>
  </si>
  <si>
    <t xml:space="preserve">   ? = I think I know it / not sure</t>
  </si>
  <si>
    <t xml:space="preserve">   ✗ = I don't know this word</t>
  </si>
  <si>
    <t>4. (Optional) Write the English translation in the "My Translation" column</t>
  </si>
  <si>
    <t>5. Repeat the process for Tier 2, 3 and 4</t>
  </si>
  <si>
    <t>6. Go to the "Results" sheet to see your score!</t>
  </si>
  <si>
    <t>💡 TIPS:</t>
  </si>
  <si>
    <t>• Be honest with yourself - this helps you know what to study!</t>
  </si>
  <si>
    <t>• Focus on Tier 1 words first - these are most important for building the base for the A2 exam</t>
  </si>
  <si>
    <t>• Words you mark with ? or ✗ are your study priorities</t>
  </si>
  <si>
    <t>• Take the test again in 2-3 weeks to measure your progress</t>
  </si>
  <si>
    <t>⏱️ ESTIMATED TIME:</t>
  </si>
  <si>
    <t>• Quick test (just dropdowns): 15-20 minutes</t>
  </si>
  <si>
    <t>• Full test (with translations): 30-45 minutes</t>
  </si>
  <si>
    <t>🎯 SCORING:</t>
  </si>
  <si>
    <t>• 700-900 words (✓): Excellent! Ready for A2 exam</t>
  </si>
  <si>
    <t>• 500-699 words (✓): Good progress! Keep studying</t>
  </si>
  <si>
    <t>• 300-499 words (✓): Decent foundation, more work needed</t>
  </si>
  <si>
    <t>• Under 300 words (✓): Just getting started - keep going!</t>
  </si>
  <si>
    <t>Ready? Let's test your Lithuanian vocabulary! →</t>
  </si>
  <si>
    <t>#</t>
  </si>
  <si>
    <t>Lithuanian Word</t>
  </si>
  <si>
    <t>Topic</t>
  </si>
  <si>
    <t>Tier</t>
  </si>
  <si>
    <t>Know It?</t>
  </si>
  <si>
    <t>My Translation</t>
  </si>
  <si>
    <t>Instructions</t>
  </si>
  <si>
    <t>vardas</t>
  </si>
  <si>
    <t>Asmens tapatybė</t>
  </si>
  <si>
    <t>Tier 1</t>
  </si>
  <si>
    <t>pavardė</t>
  </si>
  <si>
    <t>adresas</t>
  </si>
  <si>
    <t>telefonas</t>
  </si>
  <si>
    <t>amžius</t>
  </si>
  <si>
    <t>tautybė</t>
  </si>
  <si>
    <t>gyventi</t>
  </si>
  <si>
    <t>būti</t>
  </si>
  <si>
    <t>dirbti</t>
  </si>
  <si>
    <t>mokytis</t>
  </si>
  <si>
    <t>tėvas</t>
  </si>
  <si>
    <t>motina</t>
  </si>
  <si>
    <t>brolis</t>
  </si>
  <si>
    <t>sesuo</t>
  </si>
  <si>
    <t>šeima</t>
  </si>
  <si>
    <t>geras</t>
  </si>
  <si>
    <t>blogas</t>
  </si>
  <si>
    <t>jaunas</t>
  </si>
  <si>
    <t>senas</t>
  </si>
  <si>
    <t>pasakyti</t>
  </si>
  <si>
    <t>rašyti</t>
  </si>
  <si>
    <t>skambinti</t>
  </si>
  <si>
    <t>gimti</t>
  </si>
  <si>
    <t>senelis</t>
  </si>
  <si>
    <t>Tier 2</t>
  </si>
  <si>
    <t>senelė</t>
  </si>
  <si>
    <t>teta</t>
  </si>
  <si>
    <t>dėdė</t>
  </si>
  <si>
    <t>giminės</t>
  </si>
  <si>
    <t>draugas</t>
  </si>
  <si>
    <t>vaikinas</t>
  </si>
  <si>
    <t>mergina</t>
  </si>
  <si>
    <t>vedęs</t>
  </si>
  <si>
    <t>ištekėjusi</t>
  </si>
  <si>
    <t>gimtadienis</t>
  </si>
  <si>
    <t>gimimo data</t>
  </si>
  <si>
    <t>profesija</t>
  </si>
  <si>
    <t>studentas</t>
  </si>
  <si>
    <t>draugiškas</t>
  </si>
  <si>
    <t>linksmas</t>
  </si>
  <si>
    <t>protingas</t>
  </si>
  <si>
    <t>darbštus</t>
  </si>
  <si>
    <t>plaukai</t>
  </si>
  <si>
    <t>akys</t>
  </si>
  <si>
    <t>gražus</t>
  </si>
  <si>
    <t>aukštas</t>
  </si>
  <si>
    <t>žemas</t>
  </si>
  <si>
    <t>ponas</t>
  </si>
  <si>
    <t>Tier 3</t>
  </si>
  <si>
    <t>ponia</t>
  </si>
  <si>
    <t>panelė</t>
  </si>
  <si>
    <t>parašas</t>
  </si>
  <si>
    <t>pasas</t>
  </si>
  <si>
    <t>pilietybė</t>
  </si>
  <si>
    <t>mokytojas</t>
  </si>
  <si>
    <t>gydytojas</t>
  </si>
  <si>
    <t>pardavėjas</t>
  </si>
  <si>
    <t>verslininkas</t>
  </si>
  <si>
    <t>garbanoti</t>
  </si>
  <si>
    <t>tiesūs</t>
  </si>
  <si>
    <t>kasa</t>
  </si>
  <si>
    <t>barzda</t>
  </si>
  <si>
    <t>ūsai</t>
  </si>
  <si>
    <t>akiniai</t>
  </si>
  <si>
    <t>tinginys</t>
  </si>
  <si>
    <t>piktas</t>
  </si>
  <si>
    <t>švelnus</t>
  </si>
  <si>
    <t>įdomus</t>
  </si>
  <si>
    <t>pavadinimai</t>
  </si>
  <si>
    <t>Tier 4</t>
  </si>
  <si>
    <t>ypatybės</t>
  </si>
  <si>
    <t>bruožai</t>
  </si>
  <si>
    <t>mobilusis</t>
  </si>
  <si>
    <t>paraidžiui</t>
  </si>
  <si>
    <t>šeiminė padėtis</t>
  </si>
  <si>
    <t>namas</t>
  </si>
  <si>
    <t>Būstas</t>
  </si>
  <si>
    <t>butas</t>
  </si>
  <si>
    <t>kambarys</t>
  </si>
  <si>
    <t>virtuvė</t>
  </si>
  <si>
    <t>vonia</t>
  </si>
  <si>
    <t>tualetas</t>
  </si>
  <si>
    <t>stalas</t>
  </si>
  <si>
    <t>kėdė</t>
  </si>
  <si>
    <t>lova</t>
  </si>
  <si>
    <t>spinta</t>
  </si>
  <si>
    <t>namai</t>
  </si>
  <si>
    <t>vieta</t>
  </si>
  <si>
    <t>valgyti</t>
  </si>
  <si>
    <t>miegoti</t>
  </si>
  <si>
    <t>plauti</t>
  </si>
  <si>
    <t>valyti</t>
  </si>
  <si>
    <t>svetainė</t>
  </si>
  <si>
    <t>miegamasis</t>
  </si>
  <si>
    <t>balkonas</t>
  </si>
  <si>
    <t>rūsys</t>
  </si>
  <si>
    <t>garažas</t>
  </si>
  <si>
    <t>sofa</t>
  </si>
  <si>
    <t>fotelis</t>
  </si>
  <si>
    <t>lentyna</t>
  </si>
  <si>
    <t>veidrodis</t>
  </si>
  <si>
    <t>kilimas</t>
  </si>
  <si>
    <t>šaldytuvas</t>
  </si>
  <si>
    <t>viryklė</t>
  </si>
  <si>
    <t>skalbimo mašina</t>
  </si>
  <si>
    <t>televizorius</t>
  </si>
  <si>
    <t>tvarkyti</t>
  </si>
  <si>
    <t>šluoti</t>
  </si>
  <si>
    <t>ruošti</t>
  </si>
  <si>
    <t>gaminti</t>
  </si>
  <si>
    <t>didelis</t>
  </si>
  <si>
    <t>mažas</t>
  </si>
  <si>
    <t>švarus</t>
  </si>
  <si>
    <t>nešvarus</t>
  </si>
  <si>
    <t>šiltas</t>
  </si>
  <si>
    <t>šaltas</t>
  </si>
  <si>
    <t>užuolaidos</t>
  </si>
  <si>
    <t>pagalvė</t>
  </si>
  <si>
    <t>antklodė</t>
  </si>
  <si>
    <t>rankšluostis</t>
  </si>
  <si>
    <t>dulkių siurblys</t>
  </si>
  <si>
    <t>šluota</t>
  </si>
  <si>
    <t>šiukšliadėžė</t>
  </si>
  <si>
    <t>stogas</t>
  </si>
  <si>
    <t>siena</t>
  </si>
  <si>
    <t>grindys</t>
  </si>
  <si>
    <t>lubos</t>
  </si>
  <si>
    <t>durys</t>
  </si>
  <si>
    <t>langas</t>
  </si>
  <si>
    <t>šildymas</t>
  </si>
  <si>
    <t>elektra</t>
  </si>
  <si>
    <t>vanduo</t>
  </si>
  <si>
    <t>dujos</t>
  </si>
  <si>
    <t>komunaliniai mokesčiai</t>
  </si>
  <si>
    <t>nuoma</t>
  </si>
  <si>
    <t>savininkas</t>
  </si>
  <si>
    <t>renovacija</t>
  </si>
  <si>
    <t>įranga</t>
  </si>
  <si>
    <t>medis</t>
  </si>
  <si>
    <t>Gamta.Regionas</t>
  </si>
  <si>
    <t>gėlė</t>
  </si>
  <si>
    <t>žolė</t>
  </si>
  <si>
    <t>oras</t>
  </si>
  <si>
    <t>saulė</t>
  </si>
  <si>
    <t>šilta</t>
  </si>
  <si>
    <t>šalta</t>
  </si>
  <si>
    <t>lyja</t>
  </si>
  <si>
    <t>sninga</t>
  </si>
  <si>
    <t>miestas</t>
  </si>
  <si>
    <t>kaimas</t>
  </si>
  <si>
    <t>miškas</t>
  </si>
  <si>
    <t>ežeras</t>
  </si>
  <si>
    <t>jūra</t>
  </si>
  <si>
    <t>vasara</t>
  </si>
  <si>
    <t>žiema</t>
  </si>
  <si>
    <t>ruduo</t>
  </si>
  <si>
    <t>pavasaris</t>
  </si>
  <si>
    <t>šuo</t>
  </si>
  <si>
    <t>katė</t>
  </si>
  <si>
    <t>paukštis</t>
  </si>
  <si>
    <t>žuvis</t>
  </si>
  <si>
    <t>arklys</t>
  </si>
  <si>
    <t>karvė</t>
  </si>
  <si>
    <t>kalnas</t>
  </si>
  <si>
    <t>upė</t>
  </si>
  <si>
    <t>laukas</t>
  </si>
  <si>
    <t>sodas</t>
  </si>
  <si>
    <t>parkas</t>
  </si>
  <si>
    <t>vėjas</t>
  </si>
  <si>
    <t>lietus</t>
  </si>
  <si>
    <t>sniegas</t>
  </si>
  <si>
    <t>debesis</t>
  </si>
  <si>
    <t>šiluma</t>
  </si>
  <si>
    <t>šiaurė</t>
  </si>
  <si>
    <t>pietūs</t>
  </si>
  <si>
    <t>rytai</t>
  </si>
  <si>
    <t>vakarai</t>
  </si>
  <si>
    <t>centras</t>
  </si>
  <si>
    <t>krūmas</t>
  </si>
  <si>
    <t>lapas</t>
  </si>
  <si>
    <t>šaknis</t>
  </si>
  <si>
    <t>žiedas</t>
  </si>
  <si>
    <t>kalva</t>
  </si>
  <si>
    <t>slėnis</t>
  </si>
  <si>
    <t>pajūris</t>
  </si>
  <si>
    <t>sala</t>
  </si>
  <si>
    <t>griaustinis</t>
  </si>
  <si>
    <t>perkūnija</t>
  </si>
  <si>
    <t>rūkas</t>
  </si>
  <si>
    <t>šaltis</t>
  </si>
  <si>
    <t>kiškis</t>
  </si>
  <si>
    <t>lapė</t>
  </si>
  <si>
    <t>vilkas</t>
  </si>
  <si>
    <t>meška</t>
  </si>
  <si>
    <t>klimatas</t>
  </si>
  <si>
    <t>geografija</t>
  </si>
  <si>
    <t>kraštovaizdis</t>
  </si>
  <si>
    <t>gamtos apsauga</t>
  </si>
  <si>
    <t>ekologija</t>
  </si>
  <si>
    <t>laikas</t>
  </si>
  <si>
    <t>Kasdienis gyvenimas</t>
  </si>
  <si>
    <t>valanda</t>
  </si>
  <si>
    <t>minutė</t>
  </si>
  <si>
    <t>diena</t>
  </si>
  <si>
    <t>vakar</t>
  </si>
  <si>
    <t>šiandien</t>
  </si>
  <si>
    <t>rytoj</t>
  </si>
  <si>
    <t>keltis</t>
  </si>
  <si>
    <t>gerti</t>
  </si>
  <si>
    <t>eiti</t>
  </si>
  <si>
    <t>važiuoti</t>
  </si>
  <si>
    <t>pusryčiai</t>
  </si>
  <si>
    <t>vakarienė</t>
  </si>
  <si>
    <t>daryti</t>
  </si>
  <si>
    <t>žiūrėti</t>
  </si>
  <si>
    <t>skaityti</t>
  </si>
  <si>
    <t>mama</t>
  </si>
  <si>
    <t>vaikas</t>
  </si>
  <si>
    <t>mokykla</t>
  </si>
  <si>
    <t>rytas</t>
  </si>
  <si>
    <t>popietė</t>
  </si>
  <si>
    <t>vakaras</t>
  </si>
  <si>
    <t>naktis</t>
  </si>
  <si>
    <t>savaitė</t>
  </si>
  <si>
    <t>mėnuo</t>
  </si>
  <si>
    <t>ruoštis</t>
  </si>
  <si>
    <t>skubėti</t>
  </si>
  <si>
    <t>laukti</t>
  </si>
  <si>
    <t>susitikti</t>
  </si>
  <si>
    <t>telefonu kalbėti</t>
  </si>
  <si>
    <t>praustis</t>
  </si>
  <si>
    <t>dantis valyti</t>
  </si>
  <si>
    <t>maudytis</t>
  </si>
  <si>
    <t>šukuotis</t>
  </si>
  <si>
    <t>pirkti</t>
  </si>
  <si>
    <t>autobusas</t>
  </si>
  <si>
    <t>troleibusas</t>
  </si>
  <si>
    <t>automobilis</t>
  </si>
  <si>
    <t>dviratis</t>
  </si>
  <si>
    <t>pėsčiomis</t>
  </si>
  <si>
    <t>drabužiai</t>
  </si>
  <si>
    <t>striukė</t>
  </si>
  <si>
    <t>marškiniai</t>
  </si>
  <si>
    <t>kelnės</t>
  </si>
  <si>
    <t>bateliai</t>
  </si>
  <si>
    <t>išeiti</t>
  </si>
  <si>
    <t>pareiti</t>
  </si>
  <si>
    <t>išvažiuoti</t>
  </si>
  <si>
    <t>atvažiuoti</t>
  </si>
  <si>
    <t>dušas</t>
  </si>
  <si>
    <t>praustuvas</t>
  </si>
  <si>
    <t>šampūnas</t>
  </si>
  <si>
    <t>muilas</t>
  </si>
  <si>
    <t>šepetys</t>
  </si>
  <si>
    <t>suknelė</t>
  </si>
  <si>
    <t>sijonas</t>
  </si>
  <si>
    <t>megztinis</t>
  </si>
  <si>
    <t>kepurė</t>
  </si>
  <si>
    <t>ankstyvas</t>
  </si>
  <si>
    <t>vėlyvas</t>
  </si>
  <si>
    <t>laiku</t>
  </si>
  <si>
    <t>pavėluoti</t>
  </si>
  <si>
    <t>kasdienybė</t>
  </si>
  <si>
    <t>rutina</t>
  </si>
  <si>
    <t>įpročiai</t>
  </si>
  <si>
    <t>tvarkaraštis</t>
  </si>
  <si>
    <t>grafikas</t>
  </si>
  <si>
    <t>žaisti</t>
  </si>
  <si>
    <t>Laisvalaikis</t>
  </si>
  <si>
    <t>sportuoti</t>
  </si>
  <si>
    <t>klausyti</t>
  </si>
  <si>
    <t>filmas</t>
  </si>
  <si>
    <t>muzika</t>
  </si>
  <si>
    <t>knyga</t>
  </si>
  <si>
    <t>žaidimas</t>
  </si>
  <si>
    <t>kinas</t>
  </si>
  <si>
    <t>teatras</t>
  </si>
  <si>
    <t>sporto salė</t>
  </si>
  <si>
    <t>mėgti</t>
  </si>
  <si>
    <t>patikti</t>
  </si>
  <si>
    <t>norėti</t>
  </si>
  <si>
    <t>futbolas</t>
  </si>
  <si>
    <t>krepšinis</t>
  </si>
  <si>
    <t>plaukimas</t>
  </si>
  <si>
    <t>šokti</t>
  </si>
  <si>
    <t>dainuoti</t>
  </si>
  <si>
    <t>piešti</t>
  </si>
  <si>
    <t>fotografuoti</t>
  </si>
  <si>
    <t>keliauti</t>
  </si>
  <si>
    <t>pomėgis</t>
  </si>
  <si>
    <t>hobis</t>
  </si>
  <si>
    <t>kolekcionavimas</t>
  </si>
  <si>
    <t>rankdarbiai</t>
  </si>
  <si>
    <t>tenisas</t>
  </si>
  <si>
    <t>bėgimas</t>
  </si>
  <si>
    <t>dviračiai</t>
  </si>
  <si>
    <t>slidinėjimas</t>
  </si>
  <si>
    <t>koncertas</t>
  </si>
  <si>
    <t>paroda</t>
  </si>
  <si>
    <t>festivalis</t>
  </si>
  <si>
    <t>vakarėlis</t>
  </si>
  <si>
    <t>dainos</t>
  </si>
  <si>
    <t>instrumentas</t>
  </si>
  <si>
    <t>dailė</t>
  </si>
  <si>
    <t>tapyba</t>
  </si>
  <si>
    <t>draugai</t>
  </si>
  <si>
    <t>kalbėtis</t>
  </si>
  <si>
    <t>linksmai leisti laiką</t>
  </si>
  <si>
    <t>pesčiomis vaikščioti</t>
  </si>
  <si>
    <t>gamtoje būti</t>
  </si>
  <si>
    <t>piknike</t>
  </si>
  <si>
    <t>muziejus</t>
  </si>
  <si>
    <t>galerija</t>
  </si>
  <si>
    <t>biblioteka</t>
  </si>
  <si>
    <t>kino teatras</t>
  </si>
  <si>
    <t>kortomis žaisti</t>
  </si>
  <si>
    <t>šachmatai</t>
  </si>
  <si>
    <t>stalo žaidimai</t>
  </si>
  <si>
    <t>treneruotė</t>
  </si>
  <si>
    <t>komanda</t>
  </si>
  <si>
    <t>varžybos</t>
  </si>
  <si>
    <t>rungtynės</t>
  </si>
  <si>
    <t>laisvalaikio veikla</t>
  </si>
  <si>
    <t>pramogos</t>
  </si>
  <si>
    <t>kultūra</t>
  </si>
  <si>
    <t>renginys</t>
  </si>
  <si>
    <t>programa</t>
  </si>
  <si>
    <t>Kelionės</t>
  </si>
  <si>
    <t>traukinys</t>
  </si>
  <si>
    <t>lėktuvas</t>
  </si>
  <si>
    <t>laivas</t>
  </si>
  <si>
    <t>atvykti</t>
  </si>
  <si>
    <t>išvykti</t>
  </si>
  <si>
    <t>oro uostas</t>
  </si>
  <si>
    <t>stotis</t>
  </si>
  <si>
    <t>viešbutis</t>
  </si>
  <si>
    <t>šalis</t>
  </si>
  <si>
    <t>bilietas</t>
  </si>
  <si>
    <t>kelionė</t>
  </si>
  <si>
    <t>kelias</t>
  </si>
  <si>
    <t>maršrutas</t>
  </si>
  <si>
    <t>kur</t>
  </si>
  <si>
    <t>kada</t>
  </si>
  <si>
    <t>kaip</t>
  </si>
  <si>
    <t>kiek</t>
  </si>
  <si>
    <t>lagaminas</t>
  </si>
  <si>
    <t>kuprinė</t>
  </si>
  <si>
    <t>vizos</t>
  </si>
  <si>
    <t>pinigai</t>
  </si>
  <si>
    <t>rezervuoti</t>
  </si>
  <si>
    <t>registruotis</t>
  </si>
  <si>
    <t>tiesiai</t>
  </si>
  <si>
    <t>kairėn</t>
  </si>
  <si>
    <t>dešinėn</t>
  </si>
  <si>
    <t>žemėlapis</t>
  </si>
  <si>
    <t>lankytis</t>
  </si>
  <si>
    <t>aplankyti</t>
  </si>
  <si>
    <t>pamatyti</t>
  </si>
  <si>
    <t>taksė</t>
  </si>
  <si>
    <t>metro</t>
  </si>
  <si>
    <t>autobuso stotelė</t>
  </si>
  <si>
    <t>bilietų kasa</t>
  </si>
  <si>
    <t>išvykimas</t>
  </si>
  <si>
    <t>atvykimas</t>
  </si>
  <si>
    <t>trukmė</t>
  </si>
  <si>
    <t>bagažas</t>
  </si>
  <si>
    <t>rankinis bagažas</t>
  </si>
  <si>
    <t>saugos tikrinimas</t>
  </si>
  <si>
    <t>prarasti</t>
  </si>
  <si>
    <t>pasiklysti</t>
  </si>
  <si>
    <t>pagalba</t>
  </si>
  <si>
    <t>turistinis</t>
  </si>
  <si>
    <t>vadovas</t>
  </si>
  <si>
    <t>ekskursija</t>
  </si>
  <si>
    <t>lankytinos vietos</t>
  </si>
  <si>
    <t>dokumentai</t>
  </si>
  <si>
    <t>asmens tapatybė</t>
  </si>
  <si>
    <t>draudimas</t>
  </si>
  <si>
    <t>pasienio kontrolė</t>
  </si>
  <si>
    <t>muitinė</t>
  </si>
  <si>
    <t>tranzitas</t>
  </si>
  <si>
    <t>kelionės tikslas</t>
  </si>
  <si>
    <t>žmogus</t>
  </si>
  <si>
    <t>Santykiai su žmonėmis</t>
  </si>
  <si>
    <t>mylėti</t>
  </si>
  <si>
    <t>padėti</t>
  </si>
  <si>
    <t>liūdnas</t>
  </si>
  <si>
    <t>supykęs</t>
  </si>
  <si>
    <t>taip</t>
  </si>
  <si>
    <t>ne</t>
  </si>
  <si>
    <t>ačiū</t>
  </si>
  <si>
    <t>prašau</t>
  </si>
  <si>
    <t>atsiprašau</t>
  </si>
  <si>
    <t>labas</t>
  </si>
  <si>
    <t>mylimas</t>
  </si>
  <si>
    <t>kolega</t>
  </si>
  <si>
    <t>kaimynas</t>
  </si>
  <si>
    <t>pusbrolis</t>
  </si>
  <si>
    <t>laimingas</t>
  </si>
  <si>
    <t>nelaimingas</t>
  </si>
  <si>
    <t>susierzinęs</t>
  </si>
  <si>
    <t>ramus</t>
  </si>
  <si>
    <t>sutikti</t>
  </si>
  <si>
    <t>nesutikti</t>
  </si>
  <si>
    <t>paklausti</t>
  </si>
  <si>
    <t>atsakyti</t>
  </si>
  <si>
    <t>padėkoti</t>
  </si>
  <si>
    <t>šypsotis</t>
  </si>
  <si>
    <t>juoktis</t>
  </si>
  <si>
    <t>verkti</t>
  </si>
  <si>
    <t>apkabinti</t>
  </si>
  <si>
    <t>pabučiuoti</t>
  </si>
  <si>
    <t>malonus</t>
  </si>
  <si>
    <t>nemalonus</t>
  </si>
  <si>
    <t>nerūpestingas</t>
  </si>
  <si>
    <t>pavydėti</t>
  </si>
  <si>
    <t>bijoti</t>
  </si>
  <si>
    <t>jausti</t>
  </si>
  <si>
    <t>jaudintis</t>
  </si>
  <si>
    <t>rūpintis</t>
  </si>
  <si>
    <t>ginčytis</t>
  </si>
  <si>
    <t>pyktis</t>
  </si>
  <si>
    <t>atleisti</t>
  </si>
  <si>
    <t>taikytis</t>
  </si>
  <si>
    <t>nesutarti</t>
  </si>
  <si>
    <t>gerbiamas</t>
  </si>
  <si>
    <t>malonus susitikti</t>
  </si>
  <si>
    <t>linkėjimai</t>
  </si>
  <si>
    <t>drąsus</t>
  </si>
  <si>
    <t>bailys</t>
  </si>
  <si>
    <t>dosnus</t>
  </si>
  <si>
    <t>šykštus</t>
  </si>
  <si>
    <t>mandagus</t>
  </si>
  <si>
    <t>santykiai</t>
  </si>
  <si>
    <t>bendravimas</t>
  </si>
  <si>
    <t>komunikacija</t>
  </si>
  <si>
    <t>konfliktas</t>
  </si>
  <si>
    <t>elgesys</t>
  </si>
  <si>
    <t>etiketas</t>
  </si>
  <si>
    <t>galva</t>
  </si>
  <si>
    <t>Sveikata ir higiena</t>
  </si>
  <si>
    <t>ausys</t>
  </si>
  <si>
    <t>nosis</t>
  </si>
  <si>
    <t>burna</t>
  </si>
  <si>
    <t>rankos</t>
  </si>
  <si>
    <t>kojos</t>
  </si>
  <si>
    <t>sveikas</t>
  </si>
  <si>
    <t>sergantis</t>
  </si>
  <si>
    <t>skaudėti</t>
  </si>
  <si>
    <t>skauda</t>
  </si>
  <si>
    <t>ligoninė</t>
  </si>
  <si>
    <t>vaistinė</t>
  </si>
  <si>
    <t>vaistai</t>
  </si>
  <si>
    <t>dantų šepetėlis</t>
  </si>
  <si>
    <t>pasta</t>
  </si>
  <si>
    <t>kaklas</t>
  </si>
  <si>
    <t>nugara</t>
  </si>
  <si>
    <t>krūtinė</t>
  </si>
  <si>
    <t>pilvas</t>
  </si>
  <si>
    <t>pirštai</t>
  </si>
  <si>
    <t>temperatūra</t>
  </si>
  <si>
    <t>kosulys</t>
  </si>
  <si>
    <t>sloga</t>
  </si>
  <si>
    <t>skausmas</t>
  </si>
  <si>
    <t>liga</t>
  </si>
  <si>
    <t>gydyti</t>
  </si>
  <si>
    <t>gydymas</t>
  </si>
  <si>
    <t>receptas</t>
  </si>
  <si>
    <t>tabletes</t>
  </si>
  <si>
    <t>sirgti</t>
  </si>
  <si>
    <t>tualetinis popierius</t>
  </si>
  <si>
    <t>šukos</t>
  </si>
  <si>
    <t>skutimosi</t>
  </si>
  <si>
    <t>pagydyti</t>
  </si>
  <si>
    <t>pasveikti</t>
  </si>
  <si>
    <t>atsigauti</t>
  </si>
  <si>
    <t>jaustis</t>
  </si>
  <si>
    <t>stiprus</t>
  </si>
  <si>
    <t>silpnas</t>
  </si>
  <si>
    <t>pavargęs</t>
  </si>
  <si>
    <t>gripas</t>
  </si>
  <si>
    <t>peršalimas</t>
  </si>
  <si>
    <t>skrandžio</t>
  </si>
  <si>
    <t>galvos skausmas</t>
  </si>
  <si>
    <t>ambulatorija</t>
  </si>
  <si>
    <t>skubios pagalbos</t>
  </si>
  <si>
    <t>tyrimas</t>
  </si>
  <si>
    <t>diagnozė</t>
  </si>
  <si>
    <t>vitaminas</t>
  </si>
  <si>
    <t>sportas</t>
  </si>
  <si>
    <t>mityba</t>
  </si>
  <si>
    <t>poilsis</t>
  </si>
  <si>
    <t>miegas</t>
  </si>
  <si>
    <t>higiena</t>
  </si>
  <si>
    <t>švarumas</t>
  </si>
  <si>
    <t>dezinfekcija</t>
  </si>
  <si>
    <t>gydymo įstaiga</t>
  </si>
  <si>
    <t>sveikatos draudimas</t>
  </si>
  <si>
    <t>profilaktika</t>
  </si>
  <si>
    <t>sveikas gyvenimo būdas</t>
  </si>
  <si>
    <t>Švietimas ir mokslas</t>
  </si>
  <si>
    <t>universitetas</t>
  </si>
  <si>
    <t>mokinys</t>
  </si>
  <si>
    <t>sąsiuvinis</t>
  </si>
  <si>
    <t>rašiklis</t>
  </si>
  <si>
    <t>pieštukas</t>
  </si>
  <si>
    <t>krepšys</t>
  </si>
  <si>
    <t>mokyti</t>
  </si>
  <si>
    <t>studijuoti</t>
  </si>
  <si>
    <t>kalba</t>
  </si>
  <si>
    <t>matematika</t>
  </si>
  <si>
    <t>istorija</t>
  </si>
  <si>
    <t>pamoka</t>
  </si>
  <si>
    <t>pertrauka</t>
  </si>
  <si>
    <t>trimestras</t>
  </si>
  <si>
    <t>fizika</t>
  </si>
  <si>
    <t>chemija</t>
  </si>
  <si>
    <t>biologija</t>
  </si>
  <si>
    <t>klasė</t>
  </si>
  <si>
    <t>auditorija</t>
  </si>
  <si>
    <t>valgykla</t>
  </si>
  <si>
    <t>namų darbai</t>
  </si>
  <si>
    <t>uždavinys</t>
  </si>
  <si>
    <t>egzaminas</t>
  </si>
  <si>
    <t>testas</t>
  </si>
  <si>
    <t>kontrolinis</t>
  </si>
  <si>
    <t>pažymys</t>
  </si>
  <si>
    <t>įvertinimas</t>
  </si>
  <si>
    <t>gerai</t>
  </si>
  <si>
    <t>blogai</t>
  </si>
  <si>
    <t>išlaikyti</t>
  </si>
  <si>
    <t>neišlaikyti</t>
  </si>
  <si>
    <t>klasės draugas</t>
  </si>
  <si>
    <t>mokytoja</t>
  </si>
  <si>
    <t>direktorius</t>
  </si>
  <si>
    <t>kurso draugas</t>
  </si>
  <si>
    <t>vadovėlis</t>
  </si>
  <si>
    <t>užrašai</t>
  </si>
  <si>
    <t>kompiuteris</t>
  </si>
  <si>
    <t>internetas</t>
  </si>
  <si>
    <t>paskaita</t>
  </si>
  <si>
    <t>seminaras</t>
  </si>
  <si>
    <t>projektas</t>
  </si>
  <si>
    <t>referatas</t>
  </si>
  <si>
    <t>darbas</t>
  </si>
  <si>
    <t>pamokas</t>
  </si>
  <si>
    <t>paskaitas</t>
  </si>
  <si>
    <t>išvakarėse</t>
  </si>
  <si>
    <t>pradžios mokykla</t>
  </si>
  <si>
    <t>gimnazija</t>
  </si>
  <si>
    <t>koledžas</t>
  </si>
  <si>
    <t>kartoti</t>
  </si>
  <si>
    <t>išmokti</t>
  </si>
  <si>
    <t>įsiminti</t>
  </si>
  <si>
    <t>suprasti</t>
  </si>
  <si>
    <t>švietimas</t>
  </si>
  <si>
    <t>žinios</t>
  </si>
  <si>
    <t>išsilavinimas</t>
  </si>
  <si>
    <t>kvalifikacija</t>
  </si>
  <si>
    <t>akademinis</t>
  </si>
  <si>
    <t>mokomasis</t>
  </si>
  <si>
    <t>parduotuvė</t>
  </si>
  <si>
    <t>Prekyba</t>
  </si>
  <si>
    <t>turgus</t>
  </si>
  <si>
    <t>prekybos centras</t>
  </si>
  <si>
    <t>parduoti</t>
  </si>
  <si>
    <t>kainuoti</t>
  </si>
  <si>
    <t>mokėti</t>
  </si>
  <si>
    <t>kiek kainuoja</t>
  </si>
  <si>
    <t>euras</t>
  </si>
  <si>
    <t>centas</t>
  </si>
  <si>
    <t>brangus</t>
  </si>
  <si>
    <t>pigus</t>
  </si>
  <si>
    <t>maistas</t>
  </si>
  <si>
    <t>daiktai</t>
  </si>
  <si>
    <t>prekė</t>
  </si>
  <si>
    <t>ar turite</t>
  </si>
  <si>
    <t>maisto</t>
  </si>
  <si>
    <t>drabužių</t>
  </si>
  <si>
    <t>batų</t>
  </si>
  <si>
    <t>knygų</t>
  </si>
  <si>
    <t>rinktis</t>
  </si>
  <si>
    <t>pasirinkti</t>
  </si>
  <si>
    <t>išbandyti</t>
  </si>
  <si>
    <t>matuoti</t>
  </si>
  <si>
    <t>grąžinti</t>
  </si>
  <si>
    <t>keisti</t>
  </si>
  <si>
    <t>kortelė</t>
  </si>
  <si>
    <t>grynais</t>
  </si>
  <si>
    <t>kvitas</t>
  </si>
  <si>
    <t>naujas</t>
  </si>
  <si>
    <t>batai</t>
  </si>
  <si>
    <t>pienas</t>
  </si>
  <si>
    <t>duona</t>
  </si>
  <si>
    <t>krepšelis</t>
  </si>
  <si>
    <t>maišelis</t>
  </si>
  <si>
    <t>vežimėlis</t>
  </si>
  <si>
    <t>dydis</t>
  </si>
  <si>
    <t>spalva</t>
  </si>
  <si>
    <t>medžiaga</t>
  </si>
  <si>
    <t>prekinė ženklas</t>
  </si>
  <si>
    <t>per brangus</t>
  </si>
  <si>
    <t>per mažas</t>
  </si>
  <si>
    <t>netinka</t>
  </si>
  <si>
    <t>defektas</t>
  </si>
  <si>
    <t>užsisakyti</t>
  </si>
  <si>
    <t>pristatymas</t>
  </si>
  <si>
    <t>nuolaida</t>
  </si>
  <si>
    <t>garantija</t>
  </si>
  <si>
    <t>grąžinimas</t>
  </si>
  <si>
    <t>keitimu</t>
  </si>
  <si>
    <t>pirkimo čekis</t>
  </si>
  <si>
    <t>garantinis talonas</t>
  </si>
  <si>
    <t>vartotojų teisės</t>
  </si>
  <si>
    <t>prekyba</t>
  </si>
  <si>
    <t>apsipirkimas</t>
  </si>
  <si>
    <t>Maistas ir gėrimai</t>
  </si>
  <si>
    <t>mėsa</t>
  </si>
  <si>
    <t>daržovės</t>
  </si>
  <si>
    <t>vaisiai</t>
  </si>
  <si>
    <t>užkandis</t>
  </si>
  <si>
    <t>virti</t>
  </si>
  <si>
    <t>kepti</t>
  </si>
  <si>
    <t>skanus</t>
  </si>
  <si>
    <t>neskanus</t>
  </si>
  <si>
    <t>saldus</t>
  </si>
  <si>
    <t>sūrus</t>
  </si>
  <si>
    <t>kartus</t>
  </si>
  <si>
    <t>arbata</t>
  </si>
  <si>
    <t>kava</t>
  </si>
  <si>
    <t>sultys</t>
  </si>
  <si>
    <t>sūris</t>
  </si>
  <si>
    <t>sviestas</t>
  </si>
  <si>
    <t>kiaušiniai</t>
  </si>
  <si>
    <t>dešra</t>
  </si>
  <si>
    <t>vištiena</t>
  </si>
  <si>
    <t>jautiena</t>
  </si>
  <si>
    <t>pomidoras</t>
  </si>
  <si>
    <t>agurkas</t>
  </si>
  <si>
    <t>morkva</t>
  </si>
  <si>
    <t>svogūnas</t>
  </si>
  <si>
    <t>bulvės</t>
  </si>
  <si>
    <t>salotos</t>
  </si>
  <si>
    <t>obuolys</t>
  </si>
  <si>
    <t>bananas</t>
  </si>
  <si>
    <t>apelsinas</t>
  </si>
  <si>
    <t>braškė</t>
  </si>
  <si>
    <t>kriaušė</t>
  </si>
  <si>
    <t>sriuba</t>
  </si>
  <si>
    <t>košė</t>
  </si>
  <si>
    <t>desertas</t>
  </si>
  <si>
    <t>pyragai</t>
  </si>
  <si>
    <t>vynas</t>
  </si>
  <si>
    <t>alus</t>
  </si>
  <si>
    <t>gira</t>
  </si>
  <si>
    <t>limonadas</t>
  </si>
  <si>
    <t>mineralinis vanduo</t>
  </si>
  <si>
    <t>ragauti</t>
  </si>
  <si>
    <t>patiekti</t>
  </si>
  <si>
    <t>vaišinti</t>
  </si>
  <si>
    <t>pasiūlyti</t>
  </si>
  <si>
    <t>restoranas</t>
  </si>
  <si>
    <t>kavinė</t>
  </si>
  <si>
    <t>baras</t>
  </si>
  <si>
    <t>makaronai</t>
  </si>
  <si>
    <t>ryžiai</t>
  </si>
  <si>
    <t>grietinė</t>
  </si>
  <si>
    <t>jogurtas</t>
  </si>
  <si>
    <t>šokoladas</t>
  </si>
  <si>
    <t>ingredientai</t>
  </si>
  <si>
    <t>verdami</t>
  </si>
  <si>
    <t>keptami</t>
  </si>
  <si>
    <t>troškinti</t>
  </si>
  <si>
    <t>menu</t>
  </si>
  <si>
    <t>užsakymas</t>
  </si>
  <si>
    <t>patiekalas</t>
  </si>
  <si>
    <t>garstyčios</t>
  </si>
  <si>
    <t>padažas</t>
  </si>
  <si>
    <t>vegetariškas</t>
  </si>
  <si>
    <t>veganas</t>
  </si>
  <si>
    <t>alerija</t>
  </si>
  <si>
    <t>patinka</t>
  </si>
  <si>
    <t>nepatinka</t>
  </si>
  <si>
    <t>maistinė vertė</t>
  </si>
  <si>
    <t>kalorijos</t>
  </si>
  <si>
    <t>baltymai</t>
  </si>
  <si>
    <t>angliavandieniai</t>
  </si>
  <si>
    <t>virtuvė (cuisine)</t>
  </si>
  <si>
    <t>kulinarija</t>
  </si>
  <si>
    <t>bankas</t>
  </si>
  <si>
    <t>Paslaugos</t>
  </si>
  <si>
    <t>paštas</t>
  </si>
  <si>
    <t>policija</t>
  </si>
  <si>
    <t>siųsti</t>
  </si>
  <si>
    <t>gauti</t>
  </si>
  <si>
    <t>el. paštas</t>
  </si>
  <si>
    <t>laiškas</t>
  </si>
  <si>
    <t>sąskaita</t>
  </si>
  <si>
    <t>bankomatas</t>
  </si>
  <si>
    <t>pervesti</t>
  </si>
  <si>
    <t>išsiimti</t>
  </si>
  <si>
    <t>įdėti</t>
  </si>
  <si>
    <t>siunta</t>
  </si>
  <si>
    <t>otkritka</t>
  </si>
  <si>
    <t>marke</t>
  </si>
  <si>
    <t>kirpykla</t>
  </si>
  <si>
    <t>kirptis</t>
  </si>
  <si>
    <t>plovykla</t>
  </si>
  <si>
    <t>valymas</t>
  </si>
  <si>
    <t>taisymas</t>
  </si>
  <si>
    <t>informacija</t>
  </si>
  <si>
    <t>biuras</t>
  </si>
  <si>
    <t>galite padėti</t>
  </si>
  <si>
    <t>rezervacija</t>
  </si>
  <si>
    <t>eilė</t>
  </si>
  <si>
    <t>registracija</t>
  </si>
  <si>
    <t>gedimas</t>
  </si>
  <si>
    <t>remontas</t>
  </si>
  <si>
    <t>pranešti</t>
  </si>
  <si>
    <t>skundas</t>
  </si>
  <si>
    <t>dokumentas</t>
  </si>
  <si>
    <t>formas</t>
  </si>
  <si>
    <t>pildyti</t>
  </si>
  <si>
    <t>pasirašyti</t>
  </si>
  <si>
    <t>darbo laikas</t>
  </si>
  <si>
    <t>kainos</t>
  </si>
  <si>
    <t>paslaugų centras</t>
  </si>
  <si>
    <t>klientų aptarnavimas</t>
  </si>
  <si>
    <t>administracija</t>
  </si>
  <si>
    <t>institucija</t>
  </si>
  <si>
    <t>Your Vocabulary Test Results</t>
  </si>
  <si>
    <t>Overall Score</t>
  </si>
  <si>
    <t>Total Words in Test:</t>
  </si>
  <si>
    <t>874</t>
  </si>
  <si>
    <t>Words You Know (✓):</t>
  </si>
  <si>
    <t>Words You're Unsure (?):</t>
  </si>
  <si>
    <t>Words You Don't Know (✗):</t>
  </si>
  <si>
    <t>Not Yet Tested:</t>
  </si>
  <si>
    <t>Knowledge Score:</t>
  </si>
  <si>
    <t>Words by Topic</t>
  </si>
  <si>
    <t>Total</t>
  </si>
  <si>
    <t>Know (✓)</t>
  </si>
  <si>
    <t>Unsure (?)</t>
  </si>
  <si>
    <t>Don't Know (✗)</t>
  </si>
  <si>
    <t>% Known</t>
  </si>
  <si>
    <t>Knowledge by Tier</t>
  </si>
  <si>
    <t>Tier 1 - 🔥 MOST IMPORTANT</t>
  </si>
  <si>
    <t>Tier 2 - 🔸 High Priority</t>
  </si>
  <si>
    <t>Tier 3 - 🔹 Medium Priority</t>
  </si>
  <si>
    <t>Tier 4 - ◽ Recognition</t>
  </si>
  <si>
    <t xml:space="preserve">Your Personalised Study Plan				</t>
  </si>
  <si>
    <t>Priority 1: Words You Don't Know (✗) by Topic</t>
  </si>
  <si>
    <t>These are your main study targets. Start here!</t>
  </si>
  <si>
    <t>Priority 2: Words You're Unsure About (?) by Topic</t>
  </si>
  <si>
    <t>Review these to build confidence.</t>
  </si>
  <si>
    <t>Note: To get your personalized study list, filter the Vocabulary Test sheet:</t>
  </si>
  <si>
    <t>2. Click on the header row (row 1)</t>
  </si>
  <si>
    <t>3. Enable filters (Data → Filter)</t>
  </si>
  <si>
    <t>4. Click the dropdown in "Know It?" column</t>
  </si>
  <si>
    <t>5. Select only "✗" or "?" to see words you need to study</t>
  </si>
  <si>
    <t>✓</t>
  </si>
  <si>
    <t>?</t>
  </si>
  <si>
    <t>✗</t>
  </si>
  <si>
    <t>name</t>
  </si>
  <si>
    <t>surname</t>
  </si>
  <si>
    <t>address</t>
  </si>
  <si>
    <t>tel no</t>
  </si>
  <si>
    <t>age</t>
  </si>
  <si>
    <t>nationality</t>
  </si>
  <si>
    <t>place where you live</t>
  </si>
  <si>
    <t>to be</t>
  </si>
  <si>
    <t>to work</t>
  </si>
  <si>
    <t>to learn / to teach?</t>
  </si>
  <si>
    <t>father</t>
  </si>
  <si>
    <t>mother</t>
  </si>
  <si>
    <t>brother</t>
  </si>
  <si>
    <t>sister</t>
  </si>
  <si>
    <t>family</t>
  </si>
  <si>
    <t>good</t>
  </si>
  <si>
    <t>bad</t>
  </si>
  <si>
    <t>young (but might confuse with "feeling")</t>
  </si>
  <si>
    <t>old</t>
  </si>
  <si>
    <t>to tell (someone something)</t>
  </si>
  <si>
    <t>to write</t>
  </si>
  <si>
    <t>to call / telephone</t>
  </si>
  <si>
    <t>to be born</t>
  </si>
  <si>
    <t>grandpa</t>
  </si>
  <si>
    <t>grandma</t>
  </si>
  <si>
    <t>uncle</t>
  </si>
  <si>
    <t>aunt</t>
  </si>
  <si>
    <t>birthday?</t>
  </si>
  <si>
    <t>friend</t>
  </si>
  <si>
    <t>child</t>
  </si>
  <si>
    <t>girl</t>
  </si>
  <si>
    <t>divorced</t>
  </si>
  <si>
    <t>married (for men and women?)</t>
  </si>
  <si>
    <t>birthday</t>
  </si>
  <si>
    <t>date of birth</t>
  </si>
  <si>
    <t>professor? profession?</t>
  </si>
  <si>
    <t>student</t>
  </si>
  <si>
    <t>friendly</t>
  </si>
  <si>
    <t>happy</t>
  </si>
  <si>
    <t>clever</t>
  </si>
  <si>
    <t>hard working?</t>
  </si>
  <si>
    <t>hair?</t>
  </si>
  <si>
    <t>eye</t>
  </si>
  <si>
    <t>beautiful</t>
  </si>
  <si>
    <t>tall / high?</t>
  </si>
  <si>
    <t>short / low?</t>
  </si>
  <si>
    <t>Mr</t>
  </si>
  <si>
    <t>Mrs</t>
  </si>
  <si>
    <t>Ms / under 18?</t>
  </si>
  <si>
    <t>signature?</t>
  </si>
  <si>
    <t>passport</t>
  </si>
  <si>
    <t>nationality / citizenship?</t>
  </si>
  <si>
    <t>teacher</t>
  </si>
  <si>
    <t>Dr</t>
  </si>
  <si>
    <t>shop keeper?</t>
  </si>
  <si>
    <t>business person? manager?</t>
  </si>
  <si>
    <t>curly?</t>
  </si>
  <si>
    <t>straight?</t>
  </si>
  <si>
    <t>cash desk</t>
  </si>
  <si>
    <t>moustache</t>
  </si>
  <si>
    <t>glasses</t>
  </si>
  <si>
    <t>lazy</t>
  </si>
  <si>
    <t>angry</t>
  </si>
  <si>
    <t>gentle</t>
  </si>
  <si>
    <t>interesting</t>
  </si>
  <si>
    <t>to be called / name?</t>
  </si>
  <si>
    <t>mobile?</t>
  </si>
  <si>
    <t>family help? nanny perhaps?</t>
  </si>
  <si>
    <t>home / house</t>
  </si>
  <si>
    <t>flat</t>
  </si>
  <si>
    <t>room</t>
  </si>
  <si>
    <t>kitchen</t>
  </si>
  <si>
    <t>bathroom</t>
  </si>
  <si>
    <t>toilet</t>
  </si>
  <si>
    <t>table</t>
  </si>
  <si>
    <t>chair</t>
  </si>
  <si>
    <t>bed</t>
  </si>
  <si>
    <t>cupboard</t>
  </si>
  <si>
    <t>to live</t>
  </si>
  <si>
    <t>place</t>
  </si>
  <si>
    <t>home? houses</t>
  </si>
  <si>
    <t>to eat</t>
  </si>
  <si>
    <t>to sleep</t>
  </si>
  <si>
    <t>to wash?</t>
  </si>
  <si>
    <t xml:space="preserve">sitting room / living room? </t>
  </si>
  <si>
    <t>bedroom</t>
  </si>
  <si>
    <t>balcony</t>
  </si>
  <si>
    <t>garage</t>
  </si>
  <si>
    <t>arm chair</t>
  </si>
  <si>
    <t>mirror</t>
  </si>
  <si>
    <t>carpet</t>
  </si>
  <si>
    <t>book shelf?</t>
  </si>
  <si>
    <t>fridge</t>
  </si>
  <si>
    <t>oven?</t>
  </si>
  <si>
    <t>washing machine</t>
  </si>
  <si>
    <t>TV</t>
  </si>
  <si>
    <t>to tidy up / clean?</t>
  </si>
  <si>
    <t>to mop?</t>
  </si>
  <si>
    <t>to clean / wash? plaukti = to swim?</t>
  </si>
  <si>
    <t>to clean / wash?</t>
  </si>
  <si>
    <t>to produce / make / cook</t>
  </si>
  <si>
    <t>big</t>
  </si>
  <si>
    <t>small</t>
  </si>
  <si>
    <t>clean</t>
  </si>
  <si>
    <t>dirty</t>
  </si>
  <si>
    <t>hot</t>
  </si>
  <si>
    <t>cold</t>
  </si>
  <si>
    <t>task?</t>
  </si>
  <si>
    <t>pillow?</t>
  </si>
  <si>
    <t>duvet? bedsheet?</t>
  </si>
  <si>
    <t>towel</t>
  </si>
  <si>
    <t>vacuum cleaner</t>
  </si>
  <si>
    <t>mop?</t>
  </si>
  <si>
    <t>bin</t>
  </si>
  <si>
    <t>roof?</t>
  </si>
  <si>
    <t>wall</t>
  </si>
  <si>
    <t>ceiling?</t>
  </si>
  <si>
    <t>floor?</t>
  </si>
  <si>
    <t>door</t>
  </si>
  <si>
    <t>window</t>
  </si>
  <si>
    <t>heating / radiator</t>
  </si>
  <si>
    <t>electricity?</t>
  </si>
  <si>
    <t>water</t>
  </si>
  <si>
    <t>gas</t>
  </si>
  <si>
    <t>shared (communal) cost for a building?</t>
  </si>
  <si>
    <t>rent</t>
  </si>
  <si>
    <t>self employed? volunteer?</t>
  </si>
  <si>
    <t>renovation</t>
  </si>
  <si>
    <t>tools?</t>
  </si>
  <si>
    <t>flower</t>
  </si>
  <si>
    <t>wood? tree? (honey = medus?)</t>
  </si>
  <si>
    <t>grass</t>
  </si>
  <si>
    <t>weather</t>
  </si>
  <si>
    <t>sun</t>
  </si>
  <si>
    <t>rain (verb?)</t>
  </si>
  <si>
    <t>snow (verb?  vs sniegas = noun)</t>
  </si>
  <si>
    <t>town</t>
  </si>
  <si>
    <t>village / countryside? / area around your house (like a yard)?</t>
  </si>
  <si>
    <t>forest</t>
  </si>
  <si>
    <t>lake</t>
  </si>
  <si>
    <t>sea</t>
  </si>
  <si>
    <t>summer</t>
  </si>
  <si>
    <t>winter</t>
  </si>
  <si>
    <t>autumn</t>
  </si>
  <si>
    <t>spring</t>
  </si>
  <si>
    <t>dog</t>
  </si>
  <si>
    <t>cat</t>
  </si>
  <si>
    <t>bird</t>
  </si>
  <si>
    <t>fish</t>
  </si>
  <si>
    <t>horse</t>
  </si>
  <si>
    <t>cow</t>
  </si>
  <si>
    <t>hill</t>
  </si>
  <si>
    <t>river</t>
  </si>
  <si>
    <t>? the outdoors?</t>
  </si>
  <si>
    <t>garden</t>
  </si>
  <si>
    <t>park</t>
  </si>
  <si>
    <t>rain (noun)</t>
  </si>
  <si>
    <t>snow (noun)</t>
  </si>
  <si>
    <t>cloud</t>
  </si>
  <si>
    <t>something to do with heat?</t>
  </si>
  <si>
    <t>high / tall</t>
  </si>
  <si>
    <t>low / short</t>
  </si>
  <si>
    <t>North</t>
  </si>
  <si>
    <t>South (and lunch?)</t>
  </si>
  <si>
    <t>East</t>
  </si>
  <si>
    <t>West</t>
  </si>
  <si>
    <t>centre</t>
  </si>
  <si>
    <t>leaf / page (in book) / website</t>
  </si>
  <si>
    <t>branch / twig?</t>
  </si>
  <si>
    <t xml:space="preserve">ring? </t>
  </si>
  <si>
    <t>valley?</t>
  </si>
  <si>
    <t>beach</t>
  </si>
  <si>
    <t>island</t>
  </si>
  <si>
    <t>thunder?</t>
  </si>
  <si>
    <t>fog / smoke?</t>
  </si>
  <si>
    <t>something to do with cold</t>
  </si>
  <si>
    <t>hare or rabbit?</t>
  </si>
  <si>
    <t>fox</t>
  </si>
  <si>
    <t>wolf</t>
  </si>
  <si>
    <t>bear</t>
  </si>
  <si>
    <t>climate</t>
  </si>
  <si>
    <t>geography</t>
  </si>
  <si>
    <t>? krasto = edge of something</t>
  </si>
  <si>
    <t>care for nature</t>
  </si>
  <si>
    <t>ecology</t>
  </si>
  <si>
    <t>time</t>
  </si>
  <si>
    <t>hour</t>
  </si>
  <si>
    <t>minute</t>
  </si>
  <si>
    <t>day</t>
  </si>
  <si>
    <t>evening</t>
  </si>
  <si>
    <t>today</t>
  </si>
  <si>
    <t>tomorrow</t>
  </si>
  <si>
    <t>to get up? stand up / get out of bed?</t>
  </si>
  <si>
    <t>to drink</t>
  </si>
  <si>
    <t>to go</t>
  </si>
  <si>
    <t>to drive / go by transport</t>
  </si>
  <si>
    <t>to learn?</t>
  </si>
  <si>
    <t>breakfast</t>
  </si>
  <si>
    <t>lunch</t>
  </si>
  <si>
    <t>evening meal</t>
  </si>
  <si>
    <t xml:space="preserve">to do </t>
  </si>
  <si>
    <t>to watch</t>
  </si>
  <si>
    <t>to read</t>
  </si>
  <si>
    <t>Mum</t>
  </si>
  <si>
    <t>Dad</t>
  </si>
  <si>
    <t>home / houses?</t>
  </si>
  <si>
    <t>school</t>
  </si>
  <si>
    <t>morning</t>
  </si>
  <si>
    <t>afternoon</t>
  </si>
  <si>
    <t>night</t>
  </si>
  <si>
    <t>week</t>
  </si>
  <si>
    <t>month? (menulis = moon)</t>
  </si>
  <si>
    <t>to hurry / rush</t>
  </si>
  <si>
    <t>to wait?</t>
  </si>
  <si>
    <t>to agree / to meet?</t>
  </si>
  <si>
    <t>to speak by phone</t>
  </si>
  <si>
    <t>to clean teeth</t>
  </si>
  <si>
    <t>to bathe (in a bath or splash around in body of water?)</t>
  </si>
  <si>
    <t>to buy</t>
  </si>
  <si>
    <t>to make / produce / cook</t>
  </si>
  <si>
    <t>to tidy up / organise?</t>
  </si>
  <si>
    <t>bus</t>
  </si>
  <si>
    <t>tram</t>
  </si>
  <si>
    <t>car</t>
  </si>
  <si>
    <t>bike</t>
  </si>
  <si>
    <t>pedestrian?</t>
  </si>
  <si>
    <t>clothes</t>
  </si>
  <si>
    <t>shirt?</t>
  </si>
  <si>
    <t>trousers</t>
  </si>
  <si>
    <t>shoes / footwear?</t>
  </si>
  <si>
    <t>to go?</t>
  </si>
  <si>
    <t>to drive away from?</t>
  </si>
  <si>
    <t>to drive towards?</t>
  </si>
  <si>
    <t>shower</t>
  </si>
  <si>
    <t>shampoo</t>
  </si>
  <si>
    <t>soap</t>
  </si>
  <si>
    <t>brush?</t>
  </si>
  <si>
    <t>dress</t>
  </si>
  <si>
    <t>skirt</t>
  </si>
  <si>
    <t>clothing, but not sure what (jacket / jumper / shirt?)</t>
  </si>
  <si>
    <t>cap / hat</t>
  </si>
  <si>
    <t>something to do  with early</t>
  </si>
  <si>
    <t>something to do  with late</t>
  </si>
  <si>
    <t>something to do with time</t>
  </si>
  <si>
    <t>something about everyday</t>
  </si>
  <si>
    <t>routine/?</t>
  </si>
  <si>
    <t>timetable</t>
  </si>
  <si>
    <t>graphic</t>
  </si>
  <si>
    <t>to play sport</t>
  </si>
  <si>
    <t>to play (games)</t>
  </si>
  <si>
    <t>to listen</t>
  </si>
  <si>
    <t>a film</t>
  </si>
  <si>
    <t>music</t>
  </si>
  <si>
    <t>book</t>
  </si>
  <si>
    <t>a game</t>
  </si>
  <si>
    <t>a friend</t>
  </si>
  <si>
    <t>cinema</t>
  </si>
  <si>
    <t>theatre</t>
  </si>
  <si>
    <t>sports hall</t>
  </si>
  <si>
    <t>to like</t>
  </si>
  <si>
    <t>to like?</t>
  </si>
  <si>
    <t>to want</t>
  </si>
  <si>
    <t>football</t>
  </si>
  <si>
    <t>basketball</t>
  </si>
  <si>
    <t>swimming?</t>
  </si>
  <si>
    <t>dance / gymnastics?</t>
  </si>
  <si>
    <t>to sing</t>
  </si>
  <si>
    <t>to paint?</t>
  </si>
  <si>
    <t>to photograph</t>
  </si>
  <si>
    <t>something to do with journeys</t>
  </si>
  <si>
    <t>hobby?</t>
  </si>
  <si>
    <t>collection?</t>
  </si>
  <si>
    <t>hand made / crafted</t>
  </si>
  <si>
    <t>tennis</t>
  </si>
  <si>
    <t>running</t>
  </si>
  <si>
    <t>cycling</t>
  </si>
  <si>
    <t>skating?</t>
  </si>
  <si>
    <t>concert</t>
  </si>
  <si>
    <t>show</t>
  </si>
  <si>
    <t>festival</t>
  </si>
  <si>
    <t>party? evening event?</t>
  </si>
  <si>
    <t>song</t>
  </si>
  <si>
    <t>instrument</t>
  </si>
  <si>
    <t xml:space="preserve">an item? </t>
  </si>
  <si>
    <t>friends</t>
  </si>
  <si>
    <t>to meet</t>
  </si>
  <si>
    <t>to talk?</t>
  </si>
  <si>
    <t>? to let/allow time happily?</t>
  </si>
  <si>
    <t>walking / being a pedestrian?</t>
  </si>
  <si>
    <t>to be in nature</t>
  </si>
  <si>
    <t>picnic</t>
  </si>
  <si>
    <t>museum</t>
  </si>
  <si>
    <t>gallery</t>
  </si>
  <si>
    <t>library</t>
  </si>
  <si>
    <t>to play (what?)</t>
  </si>
  <si>
    <t>chess</t>
  </si>
  <si>
    <t>table games / indoor games / board games</t>
  </si>
  <si>
    <t>something to do with training / a trainer</t>
  </si>
  <si>
    <t>something to do with a team</t>
  </si>
  <si>
    <t>event / entertainment?</t>
  </si>
  <si>
    <t>culture</t>
  </si>
  <si>
    <t>event</t>
  </si>
  <si>
    <t>program</t>
  </si>
  <si>
    <t>train</t>
  </si>
  <si>
    <t>airplane</t>
  </si>
  <si>
    <t>boat / ship</t>
  </si>
  <si>
    <t>to drive / go by vehicle</t>
  </si>
  <si>
    <t>to travel?</t>
  </si>
  <si>
    <t>airport</t>
  </si>
  <si>
    <t>stop (eg for a bus)</t>
  </si>
  <si>
    <t>hotel</t>
  </si>
  <si>
    <t>country</t>
  </si>
  <si>
    <t>ticket</t>
  </si>
  <si>
    <t>something to do with travel / journeys</t>
  </si>
  <si>
    <t>route? (but why do the small buses in Klaipeda have marsrutas in the name?)</t>
  </si>
  <si>
    <t>where</t>
  </si>
  <si>
    <t>when</t>
  </si>
  <si>
    <t>how</t>
  </si>
  <si>
    <t>how many</t>
  </si>
  <si>
    <t>suitcase</t>
  </si>
  <si>
    <t>rucksack</t>
  </si>
  <si>
    <t>visa</t>
  </si>
  <si>
    <t>wallet? or money? or both?</t>
  </si>
  <si>
    <t>reservation</t>
  </si>
  <si>
    <t>registration</t>
  </si>
  <si>
    <t>something to do with going straight ahead</t>
  </si>
  <si>
    <t>something to do with going left</t>
  </si>
  <si>
    <t>something to do with going right</t>
  </si>
  <si>
    <t>north</t>
  </si>
  <si>
    <t>south (and lunch?)</t>
  </si>
  <si>
    <t>map</t>
  </si>
  <si>
    <t>to see</t>
  </si>
  <si>
    <t>metro / underground</t>
  </si>
  <si>
    <t>bus stop</t>
  </si>
  <si>
    <t>taxi</t>
  </si>
  <si>
    <t>ticket office / desk</t>
  </si>
  <si>
    <t>landing / arrival?</t>
  </si>
  <si>
    <t>take off / departure?</t>
  </si>
  <si>
    <t>luggage</t>
  </si>
  <si>
    <t>safety something-or-other</t>
  </si>
  <si>
    <t>to be running late?</t>
  </si>
  <si>
    <t>help</t>
  </si>
  <si>
    <t>tourist</t>
  </si>
  <si>
    <t>leader / guide?</t>
  </si>
  <si>
    <t>ekscursion</t>
  </si>
  <si>
    <t>place of something?</t>
  </si>
  <si>
    <t>document</t>
  </si>
  <si>
    <t>personal something?</t>
  </si>
  <si>
    <t>insurance</t>
  </si>
  <si>
    <t>border control</t>
  </si>
  <si>
    <t>customs</t>
  </si>
  <si>
    <t>transit area</t>
  </si>
  <si>
    <t>(as above)</t>
  </si>
  <si>
    <t>person</t>
  </si>
  <si>
    <t>to love</t>
  </si>
  <si>
    <t>to enjoy / like</t>
  </si>
  <si>
    <t>to help</t>
  </si>
  <si>
    <t>to meet / agree?</t>
  </si>
  <si>
    <t>sad</t>
  </si>
  <si>
    <t>something to do with anger?</t>
  </si>
  <si>
    <t>yes</t>
  </si>
  <si>
    <t>no</t>
  </si>
  <si>
    <t>thank you</t>
  </si>
  <si>
    <t>please</t>
  </si>
  <si>
    <t>excuse me</t>
  </si>
  <si>
    <t>please (also prašom?)</t>
  </si>
  <si>
    <t>hello</t>
  </si>
  <si>
    <t>favourite</t>
  </si>
  <si>
    <t>colleague</t>
  </si>
  <si>
    <t>neighbour</t>
  </si>
  <si>
    <t>blood relative?</t>
  </si>
  <si>
    <t>cousing / half brother?</t>
  </si>
  <si>
    <t>calm</t>
  </si>
  <si>
    <t>to ask</t>
  </si>
  <si>
    <t>something related to smiles / smiling</t>
  </si>
  <si>
    <t>something related to laughter / laughing</t>
  </si>
  <si>
    <t>to cry</t>
  </si>
  <si>
    <t>to hug</t>
  </si>
  <si>
    <t>to kiss</t>
  </si>
  <si>
    <t>not enjoyable</t>
  </si>
  <si>
    <t>enjoyable / nice</t>
  </si>
  <si>
    <t>to feel</t>
  </si>
  <si>
    <t>something related to anger</t>
  </si>
  <si>
    <t>to let / allow?</t>
  </si>
  <si>
    <t>being happy to meet someone</t>
  </si>
  <si>
    <t>brave</t>
  </si>
  <si>
    <t>relationship / network / kin?</t>
  </si>
  <si>
    <t>communication</t>
  </si>
  <si>
    <t>common / regular / communication?</t>
  </si>
  <si>
    <t>conflict</t>
  </si>
  <si>
    <t>behaviour?</t>
  </si>
  <si>
    <t>etiquette</t>
  </si>
  <si>
    <t>head</t>
  </si>
  <si>
    <t>ear</t>
  </si>
  <si>
    <t>nose</t>
  </si>
  <si>
    <t>mouth</t>
  </si>
  <si>
    <t>hand</t>
  </si>
  <si>
    <t>foot / leg?</t>
  </si>
  <si>
    <t>healthy</t>
  </si>
  <si>
    <t>to be sick</t>
  </si>
  <si>
    <t>to hurt / pain</t>
  </si>
  <si>
    <t>pain</t>
  </si>
  <si>
    <t>hospital</t>
  </si>
  <si>
    <t>doctor</t>
  </si>
  <si>
    <t>pharmacy</t>
  </si>
  <si>
    <t>medicine</t>
  </si>
  <si>
    <t>as above (bathing)</t>
  </si>
  <si>
    <t>as above</t>
  </si>
  <si>
    <t>tooth brush</t>
  </si>
  <si>
    <t>paste (like tooth paste) and pasta?</t>
  </si>
  <si>
    <t>back?</t>
  </si>
  <si>
    <t>neck / throat?</t>
  </si>
  <si>
    <t>chest / breast?</t>
  </si>
  <si>
    <t>stomach</t>
  </si>
  <si>
    <t>fingers (and toes?)</t>
  </si>
  <si>
    <t>temperature</t>
  </si>
  <si>
    <t>cough</t>
  </si>
  <si>
    <t>runny nose</t>
  </si>
  <si>
    <t>pain?</t>
  </si>
  <si>
    <t>disease?</t>
  </si>
  <si>
    <t>to treat? (gydytoja)</t>
  </si>
  <si>
    <t>treatment?</t>
  </si>
  <si>
    <t>prescription</t>
  </si>
  <si>
    <t>tablet</t>
  </si>
  <si>
    <t>to get sick</t>
  </si>
  <si>
    <t>toilet paper</t>
  </si>
  <si>
    <t>to recover / get better?</t>
  </si>
  <si>
    <t>strong</t>
  </si>
  <si>
    <t>weak (don't always remember it)</t>
  </si>
  <si>
    <t>tiredness?</t>
  </si>
  <si>
    <t>flu</t>
  </si>
  <si>
    <t>high temperature</t>
  </si>
  <si>
    <t>headache</t>
  </si>
  <si>
    <t>walk in patient</t>
  </si>
  <si>
    <t>first aid / emergency hospital treatment</t>
  </si>
  <si>
    <t>test</t>
  </si>
  <si>
    <t>diagnosis</t>
  </si>
  <si>
    <t>vitamin</t>
  </si>
  <si>
    <t>sport</t>
  </si>
  <si>
    <t>comfort / rest?</t>
  </si>
  <si>
    <t>sleep</t>
  </si>
  <si>
    <t>hygene</t>
  </si>
  <si>
    <t>cleanliness</t>
  </si>
  <si>
    <t>disinfection</t>
  </si>
  <si>
    <t>health insurance</t>
  </si>
  <si>
    <t>profilatic (whatever one of those is!)</t>
  </si>
  <si>
    <t>living healthily / lifestyle?</t>
  </si>
  <si>
    <t>university</t>
  </si>
  <si>
    <t>teacher?</t>
  </si>
  <si>
    <t>pencil</t>
  </si>
  <si>
    <t>basket?</t>
  </si>
  <si>
    <t>to study</t>
  </si>
  <si>
    <t>to speak</t>
  </si>
  <si>
    <t>mathematics</t>
  </si>
  <si>
    <t>history</t>
  </si>
  <si>
    <t>trimester</t>
  </si>
  <si>
    <t>physics</t>
  </si>
  <si>
    <t>chemistry</t>
  </si>
  <si>
    <t>biology</t>
  </si>
  <si>
    <t>art?</t>
  </si>
  <si>
    <t>class</t>
  </si>
  <si>
    <t>auditorium</t>
  </si>
  <si>
    <t>dining room / canteen</t>
  </si>
  <si>
    <t>homework</t>
  </si>
  <si>
    <t>exercise?</t>
  </si>
  <si>
    <t>exam</t>
  </si>
  <si>
    <t>control test?</t>
  </si>
  <si>
    <t>score / evaluation?</t>
  </si>
  <si>
    <t>class friends</t>
  </si>
  <si>
    <t>teacher / lecturer</t>
  </si>
  <si>
    <t>Director / principal / headmaster-mistress</t>
  </si>
  <si>
    <t>course friends?</t>
  </si>
  <si>
    <t>computer</t>
  </si>
  <si>
    <t>internet</t>
  </si>
  <si>
    <t>seminar</t>
  </si>
  <si>
    <t>project or projector?</t>
  </si>
  <si>
    <t>work / job</t>
  </si>
  <si>
    <t>primary school</t>
  </si>
  <si>
    <t>gymnasium / secondary school</t>
  </si>
  <si>
    <t>college?</t>
  </si>
  <si>
    <t>together</t>
  </si>
  <si>
    <t>something to do with memory?</t>
  </si>
  <si>
    <t>to understand</t>
  </si>
  <si>
    <t>news</t>
  </si>
  <si>
    <t>qualifidation</t>
  </si>
  <si>
    <t>academia / academic?</t>
  </si>
  <si>
    <t>shop</t>
  </si>
  <si>
    <t>market</t>
  </si>
  <si>
    <t>shopping centre</t>
  </si>
  <si>
    <t>to sell?</t>
  </si>
  <si>
    <t>to pay</t>
  </si>
  <si>
    <t>how much does it cost</t>
  </si>
  <si>
    <t>money / cash</t>
  </si>
  <si>
    <t>Euros</t>
  </si>
  <si>
    <t>cents</t>
  </si>
  <si>
    <t>expensive</t>
  </si>
  <si>
    <t>cheap</t>
  </si>
  <si>
    <t>food</t>
  </si>
  <si>
    <t>clothing</t>
  </si>
  <si>
    <t>things</t>
  </si>
  <si>
    <t>goods in a shop?</t>
  </si>
  <si>
    <t xml:space="preserve">how many </t>
  </si>
  <si>
    <t>do you have</t>
  </si>
  <si>
    <t>food (genitive)</t>
  </si>
  <si>
    <t>clothing (genitive)</t>
  </si>
  <si>
    <t>shoes / footwear</t>
  </si>
  <si>
    <t>books</t>
  </si>
  <si>
    <t>something to do with a set or choosing</t>
  </si>
  <si>
    <t>to return (bought goods)</t>
  </si>
  <si>
    <t>to exchange (also to change clothes?)</t>
  </si>
  <si>
    <t>payment card</t>
  </si>
  <si>
    <t>cash</t>
  </si>
  <si>
    <t>receipt</t>
  </si>
  <si>
    <t xml:space="preserve">book </t>
  </si>
  <si>
    <t>milk</t>
  </si>
  <si>
    <t>bread</t>
  </si>
  <si>
    <t>basket / shopping basket</t>
  </si>
  <si>
    <t>shopping bag</t>
  </si>
  <si>
    <t>shopping cart</t>
  </si>
  <si>
    <t>size</t>
  </si>
  <si>
    <t>colour</t>
  </si>
  <si>
    <t>material / wood?</t>
  </si>
  <si>
    <t xml:space="preserve">brand? </t>
  </si>
  <si>
    <t>too expensive</t>
  </si>
  <si>
    <t>too small</t>
  </si>
  <si>
    <t>doesn't fit</t>
  </si>
  <si>
    <t>defective</t>
  </si>
  <si>
    <t>(order?)</t>
  </si>
  <si>
    <t>to reserver</t>
  </si>
  <si>
    <t>to deliver</t>
  </si>
  <si>
    <t>discount</t>
  </si>
  <si>
    <t>guarantee</t>
  </si>
  <si>
    <t>returned item</t>
  </si>
  <si>
    <t>cheque for bought goods / receipt</t>
  </si>
  <si>
    <t>guarantee of some kind?</t>
  </si>
  <si>
    <t>medicineI think?</t>
  </si>
  <si>
    <t>shopping?</t>
  </si>
  <si>
    <t>something shopping related</t>
  </si>
  <si>
    <t>meat</t>
  </si>
  <si>
    <t>vegetables</t>
  </si>
  <si>
    <t>snack</t>
  </si>
  <si>
    <t>to cook / produce / make / manufacture?</t>
  </si>
  <si>
    <t>to fry</t>
  </si>
  <si>
    <t>tasty</t>
  </si>
  <si>
    <t>not tasty</t>
  </si>
  <si>
    <t>sweet</t>
  </si>
  <si>
    <t>savoury</t>
  </si>
  <si>
    <t>tea</t>
  </si>
  <si>
    <t>coffee</t>
  </si>
  <si>
    <t>juice</t>
  </si>
  <si>
    <t>cheese</t>
  </si>
  <si>
    <t>butter</t>
  </si>
  <si>
    <t>eggs</t>
  </si>
  <si>
    <t>sausages</t>
  </si>
  <si>
    <t>chicken</t>
  </si>
  <si>
    <t>beef</t>
  </si>
  <si>
    <t>tomatoes</t>
  </si>
  <si>
    <t>cucumbers</t>
  </si>
  <si>
    <t>carrots?</t>
  </si>
  <si>
    <t>onions</t>
  </si>
  <si>
    <t>potatoes</t>
  </si>
  <si>
    <t>salad</t>
  </si>
  <si>
    <t>apples</t>
  </si>
  <si>
    <t>oranges</t>
  </si>
  <si>
    <t>strawberries</t>
  </si>
  <si>
    <t>pears</t>
  </si>
  <si>
    <t>soup</t>
  </si>
  <si>
    <t>porridge / mashed food?</t>
  </si>
  <si>
    <t>dessert</t>
  </si>
  <si>
    <t>pie</t>
  </si>
  <si>
    <t>wine</t>
  </si>
  <si>
    <t>beer</t>
  </si>
  <si>
    <t xml:space="preserve">gira </t>
  </si>
  <si>
    <t>lemonade</t>
  </si>
  <si>
    <t>mineral water</t>
  </si>
  <si>
    <t>fermented?</t>
  </si>
  <si>
    <t>order?</t>
  </si>
  <si>
    <t>fruit? medicine?</t>
  </si>
  <si>
    <t>restaurant</t>
  </si>
  <si>
    <t>café</t>
  </si>
  <si>
    <t>canteen</t>
  </si>
  <si>
    <t>bar</t>
  </si>
  <si>
    <t>rice</t>
  </si>
  <si>
    <t>cream</t>
  </si>
  <si>
    <t>yoghurt</t>
  </si>
  <si>
    <t>chocolate</t>
  </si>
  <si>
    <t>recipe (and prescription?)</t>
  </si>
  <si>
    <t>ingredients</t>
  </si>
  <si>
    <t>dried?</t>
  </si>
  <si>
    <t xml:space="preserve">order </t>
  </si>
  <si>
    <t>one dish?</t>
  </si>
  <si>
    <t>mustard</t>
  </si>
  <si>
    <t>sauce</t>
  </si>
  <si>
    <t>vegetarian</t>
  </si>
  <si>
    <t>vegan</t>
  </si>
  <si>
    <t>to dislike</t>
  </si>
  <si>
    <t>food values / details (on the packet)</t>
  </si>
  <si>
    <t>calories</t>
  </si>
  <si>
    <t>protein</t>
  </si>
  <si>
    <t>carbohydrate</t>
  </si>
  <si>
    <t>culinary</t>
  </si>
  <si>
    <t>a bank (only meaning?)</t>
  </si>
  <si>
    <t>post office</t>
  </si>
  <si>
    <t>police station</t>
  </si>
  <si>
    <t xml:space="preserve">to send </t>
  </si>
  <si>
    <t>to receive</t>
  </si>
  <si>
    <t>to help someone?</t>
  </si>
  <si>
    <t>to call</t>
  </si>
  <si>
    <t>telephone</t>
  </si>
  <si>
    <t>email</t>
  </si>
  <si>
    <t>letter</t>
  </si>
  <si>
    <t>the bill</t>
  </si>
  <si>
    <t>ATM</t>
  </si>
  <si>
    <t>card (for payment)</t>
  </si>
  <si>
    <t>to transfer (funds)</t>
  </si>
  <si>
    <t>to deposit</t>
  </si>
  <si>
    <t>to get cash from an ATM</t>
  </si>
  <si>
    <t>parcel</t>
  </si>
  <si>
    <t>hair dresser (location)</t>
  </si>
  <si>
    <t>something to do with hair dressers</t>
  </si>
  <si>
    <t>wash (eg for a car)</t>
  </si>
  <si>
    <t>cleaning of some kind?</t>
  </si>
  <si>
    <t>information</t>
  </si>
  <si>
    <t>office</t>
  </si>
  <si>
    <t xml:space="preserve">thank you </t>
  </si>
  <si>
    <t>can you help / are you able to help</t>
  </si>
  <si>
    <t>electricity</t>
  </si>
  <si>
    <t>bill</t>
  </si>
  <si>
    <t>a line / queue / an aisle</t>
  </si>
  <si>
    <t>form</t>
  </si>
  <si>
    <t>to fill up?</t>
  </si>
  <si>
    <t>to sign?</t>
  </si>
  <si>
    <t>working hours / opening hours</t>
  </si>
  <si>
    <t>price</t>
  </si>
  <si>
    <t>service centre</t>
  </si>
  <si>
    <t>customer service</t>
  </si>
  <si>
    <t>administration</t>
  </si>
  <si>
    <t>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</si>
</sst>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i/>
      <sz val="12"/>
      <color rgb="FF000000"/>
      <name val="Cambria"/>
    </font>
    <font>
      <b/>
      <sz val="20"/>
      <color rgb="FF4472C4"/>
      <name val="Cambria"/>
    </font>
    <font>
      <sz val="11"/>
      <color rgb="FF000000"/>
      <name val="Cambria"/>
    </font>
    <font>
      <b/>
      <sz val="14"/>
      <color rgb="FF2E5090"/>
      <name val="Cambria"/>
    </font>
    <font>
      <sz val="12"/>
      <color rgb="FF000000"/>
      <name val="Cambria"/>
    </font>
    <font>
      <b/>
      <sz val="14"/>
      <color rgb="FF70AD47"/>
      <name val="Cambria"/>
    </font>
    <font>
      <b/>
      <sz val="14"/>
      <color rgb="FFED7D31"/>
      <name val="Cambria"/>
    </font>
    <font>
      <b/>
      <sz val="14"/>
      <color rgb="FF4472C4"/>
      <name val="Cambria"/>
    </font>
    <font>
      <b/>
      <sz val="12"/>
      <color rgb="FF70AD47"/>
      <name val="Cambria"/>
    </font>
    <font>
      <b/>
      <sz val="11"/>
      <color rgb="FFFFFFFF"/>
      <name val="Cambria"/>
    </font>
    <font>
      <sz val="11"/>
      <color theme="1"/>
      <name val="Calibri"/>
      <scheme val="minor"/>
    </font>
    <font>
      <b/>
      <sz val="24"/>
      <color rgb="FF1F4E78"/>
      <name val="Cambria"/>
    </font>
    <font>
      <sz val="11"/>
      <color rgb="FFCC0000"/>
      <name val="Calibri"/>
      <scheme val="minor"/>
    </font>
    <font>
      <b/>
      <sz val="11"/>
      <color theme="1"/>
      <name val="Cambria"/>
    </font>
    <font>
      <sz val="11"/>
      <color theme="1"/>
      <name val="Calibri"/>
    </font>
    <font>
      <b/>
      <sz val="16"/>
      <color rgb="FF70AD47"/>
      <name val="Cambria"/>
    </font>
    <font>
      <sz val="11"/>
      <color rgb="FFABB2BF"/>
      <name val="Var(--font-mono)"/>
    </font>
    <font>
      <b/>
      <sz val="12"/>
      <color theme="1"/>
      <name val="Cambria"/>
    </font>
    <font>
      <b/>
      <sz val="10"/>
      <color theme="1"/>
      <name val="Cambria"/>
    </font>
    <font>
      <b/>
      <sz val="16"/>
      <color rgb="FFED7D31"/>
      <name val="Cambria"/>
    </font>
    <font>
      <b/>
      <sz val="12"/>
      <color rgb="FF8064A2"/>
      <name val="Cambria"/>
    </font>
    <font>
      <i/>
      <sz val="10"/>
      <color theme="1"/>
      <name val="Cambria"/>
    </font>
    <font>
      <b/>
      <sz val="12"/>
      <color rgb="FF9BBB59"/>
      <name val="Cambria"/>
    </font>
    <font>
      <sz val="10"/>
      <color theme="1"/>
      <name val="Cambria"/>
    </font>
  </fonts>
  <fills count="1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5B3D7"/>
        <bgColor rgb="FF95B3D7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C5E0B4"/>
        <bgColor rgb="FFC5E0B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0" fillId="5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top" wrapText="1"/>
    </xf>
    <xf numFmtId="0" fontId="11" fillId="0" borderId="0" xfId="0" applyFont="1"/>
    <xf numFmtId="0" fontId="8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right"/>
    </xf>
    <xf numFmtId="9" fontId="16" fillId="0" borderId="2" xfId="0" applyNumberFormat="1" applyFont="1" applyBorder="1"/>
    <xf numFmtId="0" fontId="17" fillId="0" borderId="0" xfId="0" applyFont="1" applyAlignment="1">
      <alignment horizontal="left"/>
    </xf>
    <xf numFmtId="0" fontId="19" fillId="11" borderId="1" xfId="0" applyFont="1" applyFill="1" applyBorder="1"/>
    <xf numFmtId="9" fontId="15" fillId="0" borderId="0" xfId="0" applyNumberFormat="1" applyFont="1"/>
    <xf numFmtId="0" fontId="19" fillId="12" borderId="1" xfId="0" applyFont="1" applyFill="1" applyBorder="1"/>
    <xf numFmtId="0" fontId="15" fillId="12" borderId="1" xfId="0" applyFont="1" applyFill="1" applyBorder="1"/>
    <xf numFmtId="0" fontId="15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2" fillId="0" borderId="0" xfId="0" applyFont="1" applyAlignment="1">
      <alignment horizontal="center"/>
    </xf>
    <xf numFmtId="0" fontId="0" fillId="0" borderId="0" xfId="0"/>
    <xf numFmtId="0" fontId="8" fillId="0" borderId="0" xfId="0" applyFont="1"/>
    <xf numFmtId="0" fontId="18" fillId="0" borderId="0" xfId="0" applyFont="1" applyAlignment="1">
      <alignment wrapText="1"/>
    </xf>
    <xf numFmtId="0" fontId="20" fillId="0" borderId="0" xfId="0" applyFont="1"/>
    <xf numFmtId="0" fontId="2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lang="en-GB" b="1">
                <a:solidFill>
                  <a:schemeClr val="accent1"/>
                </a:solidFill>
                <a:latin typeface="+mn-lt"/>
              </a:rPr>
              <a:t>Words by Topic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'📊 Results'!$C$18:$C$19</c:f>
              <c:strCache>
                <c:ptCount val="2"/>
                <c:pt idx="0">
                  <c:v>Words by Topic</c:v>
                </c:pt>
                <c:pt idx="1">
                  <c:v>Total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Results'!$B$20:$B$31</c:f>
              <c:strCache>
                <c:ptCount val="12"/>
                <c:pt idx="0">
                  <c:v>Asmens tapatybė</c:v>
                </c:pt>
                <c:pt idx="1">
                  <c:v>Būstas</c:v>
                </c:pt>
                <c:pt idx="2">
                  <c:v>Gamta.Regionas</c:v>
                </c:pt>
                <c:pt idx="3">
                  <c:v>Kasdienis gyvenimas</c:v>
                </c:pt>
                <c:pt idx="4">
                  <c:v>Kelionės</c:v>
                </c:pt>
                <c:pt idx="5">
                  <c:v>Laisvalaikis</c:v>
                </c:pt>
                <c:pt idx="6">
                  <c:v>Maistas ir gėrimai</c:v>
                </c:pt>
                <c:pt idx="7">
                  <c:v>Paslaugos</c:v>
                </c:pt>
                <c:pt idx="8">
                  <c:v>Prekyba</c:v>
                </c:pt>
                <c:pt idx="9">
                  <c:v>Santykiai su žmonėmis</c:v>
                </c:pt>
                <c:pt idx="10">
                  <c:v>Sveikata ir higiena</c:v>
                </c:pt>
                <c:pt idx="11">
                  <c:v>Švietimas ir mokslas</c:v>
                </c:pt>
              </c:strCache>
            </c:strRef>
          </c:cat>
          <c:val>
            <c:numRef>
              <c:f>'📊 Results'!$C$20:$C$31</c:f>
              <c:numCache>
                <c:formatCode>General</c:formatCode>
                <c:ptCount val="12"/>
                <c:pt idx="0">
                  <c:v>72</c:v>
                </c:pt>
                <c:pt idx="1">
                  <c:v>66</c:v>
                </c:pt>
                <c:pt idx="2">
                  <c:v>67</c:v>
                </c:pt>
                <c:pt idx="3">
                  <c:v>80</c:v>
                </c:pt>
                <c:pt idx="4">
                  <c:v>69</c:v>
                </c:pt>
                <c:pt idx="5">
                  <c:v>64</c:v>
                </c:pt>
                <c:pt idx="6">
                  <c:v>88</c:v>
                </c:pt>
                <c:pt idx="7">
                  <c:v>70</c:v>
                </c:pt>
                <c:pt idx="8">
                  <c:v>73</c:v>
                </c:pt>
                <c:pt idx="9">
                  <c:v>78</c:v>
                </c:pt>
                <c:pt idx="10">
                  <c:v>71</c:v>
                </c:pt>
                <c:pt idx="11">
                  <c:v>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A0-4A9C-BFD8-21783560F8D4}"/>
            </c:ext>
          </c:extLst>
        </c:ser>
        <c:ser>
          <c:idx val="1"/>
          <c:order val="1"/>
          <c:tx>
            <c:strRef>
              <c:f>'📊 Results'!$D$18:$D$19</c:f>
              <c:strCache>
                <c:ptCount val="2"/>
                <c:pt idx="0">
                  <c:v>Words by Topic</c:v>
                </c:pt>
                <c:pt idx="1">
                  <c:v>Know (✓)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Results'!$B$20:$B$31</c:f>
              <c:strCache>
                <c:ptCount val="12"/>
                <c:pt idx="0">
                  <c:v>Asmens tapatybė</c:v>
                </c:pt>
                <c:pt idx="1">
                  <c:v>Būstas</c:v>
                </c:pt>
                <c:pt idx="2">
                  <c:v>Gamta.Regionas</c:v>
                </c:pt>
                <c:pt idx="3">
                  <c:v>Kasdienis gyvenimas</c:v>
                </c:pt>
                <c:pt idx="4">
                  <c:v>Kelionės</c:v>
                </c:pt>
                <c:pt idx="5">
                  <c:v>Laisvalaikis</c:v>
                </c:pt>
                <c:pt idx="6">
                  <c:v>Maistas ir gėrimai</c:v>
                </c:pt>
                <c:pt idx="7">
                  <c:v>Paslaugos</c:v>
                </c:pt>
                <c:pt idx="8">
                  <c:v>Prekyba</c:v>
                </c:pt>
                <c:pt idx="9">
                  <c:v>Santykiai su žmonėmis</c:v>
                </c:pt>
                <c:pt idx="10">
                  <c:v>Sveikata ir higiena</c:v>
                </c:pt>
                <c:pt idx="11">
                  <c:v>Švietimas ir mokslas</c:v>
                </c:pt>
              </c:strCache>
            </c:strRef>
          </c:cat>
          <c:val>
            <c:numRef>
              <c:f>'📊 Results'!$D$20:$D$31</c:f>
              <c:numCache>
                <c:formatCode>General</c:formatCode>
                <c:ptCount val="12"/>
                <c:pt idx="0">
                  <c:v>37</c:v>
                </c:pt>
                <c:pt idx="1">
                  <c:v>36</c:v>
                </c:pt>
                <c:pt idx="2">
                  <c:v>39</c:v>
                </c:pt>
                <c:pt idx="3">
                  <c:v>42</c:v>
                </c:pt>
                <c:pt idx="4">
                  <c:v>36</c:v>
                </c:pt>
                <c:pt idx="5">
                  <c:v>34</c:v>
                </c:pt>
                <c:pt idx="6">
                  <c:v>63</c:v>
                </c:pt>
                <c:pt idx="7">
                  <c:v>45</c:v>
                </c:pt>
                <c:pt idx="8">
                  <c:v>45</c:v>
                </c:pt>
                <c:pt idx="9">
                  <c:v>37</c:v>
                </c:pt>
                <c:pt idx="10">
                  <c:v>33</c:v>
                </c:pt>
                <c:pt idx="11">
                  <c:v>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A0-4A9C-BFD8-21783560F8D4}"/>
            </c:ext>
          </c:extLst>
        </c:ser>
        <c:ser>
          <c:idx val="2"/>
          <c:order val="2"/>
          <c:tx>
            <c:strRef>
              <c:f>'📊 Results'!$E$18:$E$19</c:f>
              <c:strCache>
                <c:ptCount val="2"/>
                <c:pt idx="0">
                  <c:v>Words by Topic</c:v>
                </c:pt>
                <c:pt idx="1">
                  <c:v>Unsure (?)</c:v>
                </c:pt>
              </c:strCache>
            </c:strRef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Results'!$B$20:$B$31</c:f>
              <c:strCache>
                <c:ptCount val="12"/>
                <c:pt idx="0">
                  <c:v>Asmens tapatybė</c:v>
                </c:pt>
                <c:pt idx="1">
                  <c:v>Būstas</c:v>
                </c:pt>
                <c:pt idx="2">
                  <c:v>Gamta.Regionas</c:v>
                </c:pt>
                <c:pt idx="3">
                  <c:v>Kasdienis gyvenimas</c:v>
                </c:pt>
                <c:pt idx="4">
                  <c:v>Kelionės</c:v>
                </c:pt>
                <c:pt idx="5">
                  <c:v>Laisvalaikis</c:v>
                </c:pt>
                <c:pt idx="6">
                  <c:v>Maistas ir gėrimai</c:v>
                </c:pt>
                <c:pt idx="7">
                  <c:v>Paslaugos</c:v>
                </c:pt>
                <c:pt idx="8">
                  <c:v>Prekyba</c:v>
                </c:pt>
                <c:pt idx="9">
                  <c:v>Santykiai su žmonėmis</c:v>
                </c:pt>
                <c:pt idx="10">
                  <c:v>Sveikata ir higiena</c:v>
                </c:pt>
                <c:pt idx="11">
                  <c:v>Švietimas ir mokslas</c:v>
                </c:pt>
              </c:strCache>
            </c:strRef>
          </c:cat>
          <c:val>
            <c:numRef>
              <c:f>'📊 Results'!$E$20:$E$31</c:f>
              <c:numCache>
                <c:formatCode>General</c:formatCode>
                <c:ptCount val="12"/>
                <c:pt idx="0">
                  <c:v>21</c:v>
                </c:pt>
                <c:pt idx="1">
                  <c:v>18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27</c:v>
                </c:pt>
                <c:pt idx="1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A0-4A9C-BFD8-21783560F8D4}"/>
            </c:ext>
          </c:extLst>
        </c:ser>
        <c:ser>
          <c:idx val="3"/>
          <c:order val="3"/>
          <c:tx>
            <c:strRef>
              <c:f>'📊 Results'!$F$18:$F$19</c:f>
              <c:strCache>
                <c:ptCount val="2"/>
                <c:pt idx="0">
                  <c:v>Words by Topic</c:v>
                </c:pt>
                <c:pt idx="1">
                  <c:v>Don't Know (✗)</c:v>
                </c:pt>
              </c:strCache>
            </c:strRef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Results'!$B$20:$B$31</c:f>
              <c:strCache>
                <c:ptCount val="12"/>
                <c:pt idx="0">
                  <c:v>Asmens tapatybė</c:v>
                </c:pt>
                <c:pt idx="1">
                  <c:v>Būstas</c:v>
                </c:pt>
                <c:pt idx="2">
                  <c:v>Gamta.Regionas</c:v>
                </c:pt>
                <c:pt idx="3">
                  <c:v>Kasdienis gyvenimas</c:v>
                </c:pt>
                <c:pt idx="4">
                  <c:v>Kelionės</c:v>
                </c:pt>
                <c:pt idx="5">
                  <c:v>Laisvalaikis</c:v>
                </c:pt>
                <c:pt idx="6">
                  <c:v>Maistas ir gėrimai</c:v>
                </c:pt>
                <c:pt idx="7">
                  <c:v>Paslaugos</c:v>
                </c:pt>
                <c:pt idx="8">
                  <c:v>Prekyba</c:v>
                </c:pt>
                <c:pt idx="9">
                  <c:v>Santykiai su žmonėmis</c:v>
                </c:pt>
                <c:pt idx="10">
                  <c:v>Sveikata ir higiena</c:v>
                </c:pt>
                <c:pt idx="11">
                  <c:v>Švietimas ir mokslas</c:v>
                </c:pt>
              </c:strCache>
            </c:strRef>
          </c:cat>
          <c:val>
            <c:numRef>
              <c:f>'📊 Results'!$F$20:$F$31</c:f>
              <c:numCache>
                <c:formatCode>General</c:formatCode>
                <c:ptCount val="12"/>
                <c:pt idx="0">
                  <c:v>14</c:v>
                </c:pt>
                <c:pt idx="1">
                  <c:v>12</c:v>
                </c:pt>
                <c:pt idx="2">
                  <c:v>8</c:v>
                </c:pt>
                <c:pt idx="3">
                  <c:v>20</c:v>
                </c:pt>
                <c:pt idx="4">
                  <c:v>16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26</c:v>
                </c:pt>
                <c:pt idx="10">
                  <c:v>11</c:v>
                </c:pt>
                <c:pt idx="11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3A0-4A9C-BFD8-21783560F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3623987"/>
        <c:axId val="1649012733"/>
      </c:barChart>
      <c:catAx>
        <c:axId val="1353623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9012733"/>
        <c:crosses val="autoZero"/>
        <c:auto val="1"/>
        <c:lblAlgn val="ctr"/>
        <c:lblOffset val="100"/>
        <c:noMultiLvlLbl val="1"/>
      </c:catAx>
      <c:valAx>
        <c:axId val="1649012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36239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'📊 Results'!$C$37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Results'!$B$38:$B$41</c:f>
              <c:strCache>
                <c:ptCount val="4"/>
                <c:pt idx="0">
                  <c:v>Tier 1 - 🔥 MOST IMPORTANT</c:v>
                </c:pt>
                <c:pt idx="1">
                  <c:v>Tier 2 - 🔸 High Priority</c:v>
                </c:pt>
                <c:pt idx="2">
                  <c:v>Tier 3 - 🔹 Medium Priority</c:v>
                </c:pt>
                <c:pt idx="3">
                  <c:v>Tier 4 - ◽ Recognition</c:v>
                </c:pt>
              </c:strCache>
            </c:strRef>
          </c:cat>
          <c:val>
            <c:numRef>
              <c:f>'📊 Results'!$C$38:$C$41</c:f>
              <c:numCache>
                <c:formatCode>General</c:formatCode>
                <c:ptCount val="4"/>
                <c:pt idx="0">
                  <c:v>262</c:v>
                </c:pt>
                <c:pt idx="1">
                  <c:v>346</c:v>
                </c:pt>
                <c:pt idx="2">
                  <c:v>203</c:v>
                </c:pt>
                <c:pt idx="3">
                  <c:v>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9A-47DC-BDD0-612CF8246682}"/>
            </c:ext>
          </c:extLst>
        </c:ser>
        <c:ser>
          <c:idx val="1"/>
          <c:order val="1"/>
          <c:tx>
            <c:strRef>
              <c:f>'📊 Results'!$D$37</c:f>
              <c:strCache>
                <c:ptCount val="1"/>
                <c:pt idx="0">
                  <c:v>Know (✓)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Results'!$B$38:$B$41</c:f>
              <c:strCache>
                <c:ptCount val="4"/>
                <c:pt idx="0">
                  <c:v>Tier 1 - 🔥 MOST IMPORTANT</c:v>
                </c:pt>
                <c:pt idx="1">
                  <c:v>Tier 2 - 🔸 High Priority</c:v>
                </c:pt>
                <c:pt idx="2">
                  <c:v>Tier 3 - 🔹 Medium Priority</c:v>
                </c:pt>
                <c:pt idx="3">
                  <c:v>Tier 4 - ◽ Recognition</c:v>
                </c:pt>
              </c:strCache>
            </c:strRef>
          </c:cat>
          <c:val>
            <c:numRef>
              <c:f>'📊 Results'!$D$38:$D$41</c:f>
              <c:numCache>
                <c:formatCode>General</c:formatCode>
                <c:ptCount val="4"/>
                <c:pt idx="0">
                  <c:v>181</c:v>
                </c:pt>
                <c:pt idx="1">
                  <c:v>199</c:v>
                </c:pt>
                <c:pt idx="2">
                  <c:v>86</c:v>
                </c:pt>
                <c:pt idx="3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A9A-47DC-BDD0-612CF8246682}"/>
            </c:ext>
          </c:extLst>
        </c:ser>
        <c:ser>
          <c:idx val="2"/>
          <c:order val="2"/>
          <c:tx>
            <c:strRef>
              <c:f>'📊 Results'!$E$37</c:f>
              <c:strCache>
                <c:ptCount val="1"/>
                <c:pt idx="0">
                  <c:v>Unsure (?)</c:v>
                </c:pt>
              </c:strCache>
            </c:strRef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Results'!$B$38:$B$41</c:f>
              <c:strCache>
                <c:ptCount val="4"/>
                <c:pt idx="0">
                  <c:v>Tier 1 - 🔥 MOST IMPORTANT</c:v>
                </c:pt>
                <c:pt idx="1">
                  <c:v>Tier 2 - 🔸 High Priority</c:v>
                </c:pt>
                <c:pt idx="2">
                  <c:v>Tier 3 - 🔹 Medium Priority</c:v>
                </c:pt>
                <c:pt idx="3">
                  <c:v>Tier 4 - ◽ Recognition</c:v>
                </c:pt>
              </c:strCache>
            </c:strRef>
          </c:cat>
          <c:val>
            <c:numRef>
              <c:f>'📊 Results'!$E$38:$E$41</c:f>
              <c:numCache>
                <c:formatCode>General</c:formatCode>
                <c:ptCount val="4"/>
                <c:pt idx="0">
                  <c:v>58</c:v>
                </c:pt>
                <c:pt idx="1">
                  <c:v>88</c:v>
                </c:pt>
                <c:pt idx="2">
                  <c:v>40</c:v>
                </c:pt>
                <c:pt idx="3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A9A-47DC-BDD0-612CF8246682}"/>
            </c:ext>
          </c:extLst>
        </c:ser>
        <c:ser>
          <c:idx val="3"/>
          <c:order val="3"/>
          <c:tx>
            <c:strRef>
              <c:f>'📊 Results'!$F$37</c:f>
              <c:strCache>
                <c:ptCount val="1"/>
                <c:pt idx="0">
                  <c:v>Don't Know (✗)</c:v>
                </c:pt>
              </c:strCache>
            </c:strRef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Results'!$B$38:$B$41</c:f>
              <c:strCache>
                <c:ptCount val="4"/>
                <c:pt idx="0">
                  <c:v>Tier 1 - 🔥 MOST IMPORTANT</c:v>
                </c:pt>
                <c:pt idx="1">
                  <c:v>Tier 2 - 🔸 High Priority</c:v>
                </c:pt>
                <c:pt idx="2">
                  <c:v>Tier 3 - 🔹 Medium Priority</c:v>
                </c:pt>
                <c:pt idx="3">
                  <c:v>Tier 4 - ◽ Recognition</c:v>
                </c:pt>
              </c:strCache>
            </c:strRef>
          </c:cat>
          <c:val>
            <c:numRef>
              <c:f>'📊 Results'!$F$38:$F$41</c:f>
              <c:numCache>
                <c:formatCode>General</c:formatCode>
                <c:ptCount val="4"/>
                <c:pt idx="0">
                  <c:v>23</c:v>
                </c:pt>
                <c:pt idx="1">
                  <c:v>59</c:v>
                </c:pt>
                <c:pt idx="2">
                  <c:v>77</c:v>
                </c:pt>
                <c:pt idx="3">
                  <c:v>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A9A-47DC-BDD0-612CF8246682}"/>
            </c:ext>
          </c:extLst>
        </c:ser>
        <c:ser>
          <c:idx val="4"/>
          <c:order val="4"/>
          <c:tx>
            <c:strRef>
              <c:f>'📊 Results'!$G$37</c:f>
              <c:strCache>
                <c:ptCount val="1"/>
                <c:pt idx="0">
                  <c:v>% Known</c:v>
                </c:pt>
              </c:strCache>
            </c:strRef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Results'!$B$38:$B$41</c:f>
              <c:strCache>
                <c:ptCount val="4"/>
                <c:pt idx="0">
                  <c:v>Tier 1 - 🔥 MOST IMPORTANT</c:v>
                </c:pt>
                <c:pt idx="1">
                  <c:v>Tier 2 - 🔸 High Priority</c:v>
                </c:pt>
                <c:pt idx="2">
                  <c:v>Tier 3 - 🔹 Medium Priority</c:v>
                </c:pt>
                <c:pt idx="3">
                  <c:v>Tier 4 - ◽ Recognition</c:v>
                </c:pt>
              </c:strCache>
            </c:strRef>
          </c:cat>
          <c:val>
            <c:numRef>
              <c:f>'📊 Results'!$G$38:$G$41</c:f>
              <c:numCache>
                <c:formatCode>0%</c:formatCode>
                <c:ptCount val="4"/>
                <c:pt idx="0">
                  <c:v>0.69083969465648853</c:v>
                </c:pt>
                <c:pt idx="1">
                  <c:v>0.57514450867052025</c:v>
                </c:pt>
                <c:pt idx="2">
                  <c:v>0.42364532019704432</c:v>
                </c:pt>
                <c:pt idx="3">
                  <c:v>0.2857142857142857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A9A-47DC-BDD0-612CF8246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9031925"/>
        <c:axId val="578849928"/>
      </c:barChart>
      <c:catAx>
        <c:axId val="399031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8849928"/>
        <c:crosses val="autoZero"/>
        <c:auto val="1"/>
        <c:lblAlgn val="ctr"/>
        <c:lblOffset val="100"/>
        <c:noMultiLvlLbl val="1"/>
      </c:catAx>
      <c:valAx>
        <c:axId val="578849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0319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lang="en-GB" b="1">
                <a:solidFill>
                  <a:schemeClr val="accent1"/>
                </a:solidFill>
                <a:latin typeface="+mn-lt"/>
              </a:rPr>
              <a:t>Words by Topic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'📊 Results'!$C$18:$C$19</c:f>
              <c:strCache>
                <c:ptCount val="2"/>
                <c:pt idx="0">
                  <c:v>Words by Topic</c:v>
                </c:pt>
                <c:pt idx="1">
                  <c:v>Total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Results'!$B$20:$B$31</c:f>
              <c:strCache>
                <c:ptCount val="12"/>
                <c:pt idx="0">
                  <c:v>Asmens tapatybė</c:v>
                </c:pt>
                <c:pt idx="1">
                  <c:v>Būstas</c:v>
                </c:pt>
                <c:pt idx="2">
                  <c:v>Gamta.Regionas</c:v>
                </c:pt>
                <c:pt idx="3">
                  <c:v>Kasdienis gyvenimas</c:v>
                </c:pt>
                <c:pt idx="4">
                  <c:v>Kelionės</c:v>
                </c:pt>
                <c:pt idx="5">
                  <c:v>Laisvalaikis</c:v>
                </c:pt>
                <c:pt idx="6">
                  <c:v>Maistas ir gėrimai</c:v>
                </c:pt>
                <c:pt idx="7">
                  <c:v>Paslaugos</c:v>
                </c:pt>
                <c:pt idx="8">
                  <c:v>Prekyba</c:v>
                </c:pt>
                <c:pt idx="9">
                  <c:v>Santykiai su žmonėmis</c:v>
                </c:pt>
                <c:pt idx="10">
                  <c:v>Sveikata ir higiena</c:v>
                </c:pt>
                <c:pt idx="11">
                  <c:v>Švietimas ir mokslas</c:v>
                </c:pt>
              </c:strCache>
            </c:strRef>
          </c:cat>
          <c:val>
            <c:numRef>
              <c:f>'📊 Results'!$C$20:$C$31</c:f>
              <c:numCache>
                <c:formatCode>General</c:formatCode>
                <c:ptCount val="12"/>
                <c:pt idx="0">
                  <c:v>72</c:v>
                </c:pt>
                <c:pt idx="1">
                  <c:v>66</c:v>
                </c:pt>
                <c:pt idx="2">
                  <c:v>67</c:v>
                </c:pt>
                <c:pt idx="3">
                  <c:v>80</c:v>
                </c:pt>
                <c:pt idx="4">
                  <c:v>69</c:v>
                </c:pt>
                <c:pt idx="5">
                  <c:v>64</c:v>
                </c:pt>
                <c:pt idx="6">
                  <c:v>88</c:v>
                </c:pt>
                <c:pt idx="7">
                  <c:v>70</c:v>
                </c:pt>
                <c:pt idx="8">
                  <c:v>73</c:v>
                </c:pt>
                <c:pt idx="9">
                  <c:v>78</c:v>
                </c:pt>
                <c:pt idx="10">
                  <c:v>71</c:v>
                </c:pt>
                <c:pt idx="11">
                  <c:v>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F0-46D2-8885-C19FBEACB912}"/>
            </c:ext>
          </c:extLst>
        </c:ser>
        <c:ser>
          <c:idx val="1"/>
          <c:order val="1"/>
          <c:tx>
            <c:strRef>
              <c:f>'📊 Results'!$D$18:$D$19</c:f>
              <c:strCache>
                <c:ptCount val="2"/>
                <c:pt idx="0">
                  <c:v>Words by Topic</c:v>
                </c:pt>
                <c:pt idx="1">
                  <c:v>Know (✓)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Results'!$B$20:$B$31</c:f>
              <c:strCache>
                <c:ptCount val="12"/>
                <c:pt idx="0">
                  <c:v>Asmens tapatybė</c:v>
                </c:pt>
                <c:pt idx="1">
                  <c:v>Būstas</c:v>
                </c:pt>
                <c:pt idx="2">
                  <c:v>Gamta.Regionas</c:v>
                </c:pt>
                <c:pt idx="3">
                  <c:v>Kasdienis gyvenimas</c:v>
                </c:pt>
                <c:pt idx="4">
                  <c:v>Kelionės</c:v>
                </c:pt>
                <c:pt idx="5">
                  <c:v>Laisvalaikis</c:v>
                </c:pt>
                <c:pt idx="6">
                  <c:v>Maistas ir gėrimai</c:v>
                </c:pt>
                <c:pt idx="7">
                  <c:v>Paslaugos</c:v>
                </c:pt>
                <c:pt idx="8">
                  <c:v>Prekyba</c:v>
                </c:pt>
                <c:pt idx="9">
                  <c:v>Santykiai su žmonėmis</c:v>
                </c:pt>
                <c:pt idx="10">
                  <c:v>Sveikata ir higiena</c:v>
                </c:pt>
                <c:pt idx="11">
                  <c:v>Švietimas ir mokslas</c:v>
                </c:pt>
              </c:strCache>
            </c:strRef>
          </c:cat>
          <c:val>
            <c:numRef>
              <c:f>'📊 Results'!$D$20:$D$31</c:f>
              <c:numCache>
                <c:formatCode>General</c:formatCode>
                <c:ptCount val="12"/>
                <c:pt idx="0">
                  <c:v>37</c:v>
                </c:pt>
                <c:pt idx="1">
                  <c:v>36</c:v>
                </c:pt>
                <c:pt idx="2">
                  <c:v>39</c:v>
                </c:pt>
                <c:pt idx="3">
                  <c:v>42</c:v>
                </c:pt>
                <c:pt idx="4">
                  <c:v>36</c:v>
                </c:pt>
                <c:pt idx="5">
                  <c:v>34</c:v>
                </c:pt>
                <c:pt idx="6">
                  <c:v>63</c:v>
                </c:pt>
                <c:pt idx="7">
                  <c:v>45</c:v>
                </c:pt>
                <c:pt idx="8">
                  <c:v>45</c:v>
                </c:pt>
                <c:pt idx="9">
                  <c:v>37</c:v>
                </c:pt>
                <c:pt idx="10">
                  <c:v>33</c:v>
                </c:pt>
                <c:pt idx="11">
                  <c:v>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F0-46D2-8885-C19FBEACB912}"/>
            </c:ext>
          </c:extLst>
        </c:ser>
        <c:ser>
          <c:idx val="2"/>
          <c:order val="2"/>
          <c:tx>
            <c:strRef>
              <c:f>'📊 Results'!$E$18:$E$19</c:f>
              <c:strCache>
                <c:ptCount val="2"/>
                <c:pt idx="0">
                  <c:v>Words by Topic</c:v>
                </c:pt>
                <c:pt idx="1">
                  <c:v>Unsure (?)</c:v>
                </c:pt>
              </c:strCache>
            </c:strRef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Results'!$B$20:$B$31</c:f>
              <c:strCache>
                <c:ptCount val="12"/>
                <c:pt idx="0">
                  <c:v>Asmens tapatybė</c:v>
                </c:pt>
                <c:pt idx="1">
                  <c:v>Būstas</c:v>
                </c:pt>
                <c:pt idx="2">
                  <c:v>Gamta.Regionas</c:v>
                </c:pt>
                <c:pt idx="3">
                  <c:v>Kasdienis gyvenimas</c:v>
                </c:pt>
                <c:pt idx="4">
                  <c:v>Kelionės</c:v>
                </c:pt>
                <c:pt idx="5">
                  <c:v>Laisvalaikis</c:v>
                </c:pt>
                <c:pt idx="6">
                  <c:v>Maistas ir gėrimai</c:v>
                </c:pt>
                <c:pt idx="7">
                  <c:v>Paslaugos</c:v>
                </c:pt>
                <c:pt idx="8">
                  <c:v>Prekyba</c:v>
                </c:pt>
                <c:pt idx="9">
                  <c:v>Santykiai su žmonėmis</c:v>
                </c:pt>
                <c:pt idx="10">
                  <c:v>Sveikata ir higiena</c:v>
                </c:pt>
                <c:pt idx="11">
                  <c:v>Švietimas ir mokslas</c:v>
                </c:pt>
              </c:strCache>
            </c:strRef>
          </c:cat>
          <c:val>
            <c:numRef>
              <c:f>'📊 Results'!$E$20:$E$31</c:f>
              <c:numCache>
                <c:formatCode>General</c:formatCode>
                <c:ptCount val="12"/>
                <c:pt idx="0">
                  <c:v>21</c:v>
                </c:pt>
                <c:pt idx="1">
                  <c:v>18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27</c:v>
                </c:pt>
                <c:pt idx="1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F0-46D2-8885-C19FBEACB912}"/>
            </c:ext>
          </c:extLst>
        </c:ser>
        <c:ser>
          <c:idx val="3"/>
          <c:order val="3"/>
          <c:tx>
            <c:strRef>
              <c:f>'📊 Results'!$F$18:$F$19</c:f>
              <c:strCache>
                <c:ptCount val="2"/>
                <c:pt idx="0">
                  <c:v>Words by Topic</c:v>
                </c:pt>
                <c:pt idx="1">
                  <c:v>Don't Know (✗)</c:v>
                </c:pt>
              </c:strCache>
            </c:strRef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'📊 Results'!$B$20:$B$31</c:f>
              <c:strCache>
                <c:ptCount val="12"/>
                <c:pt idx="0">
                  <c:v>Asmens tapatybė</c:v>
                </c:pt>
                <c:pt idx="1">
                  <c:v>Būstas</c:v>
                </c:pt>
                <c:pt idx="2">
                  <c:v>Gamta.Regionas</c:v>
                </c:pt>
                <c:pt idx="3">
                  <c:v>Kasdienis gyvenimas</c:v>
                </c:pt>
                <c:pt idx="4">
                  <c:v>Kelionės</c:v>
                </c:pt>
                <c:pt idx="5">
                  <c:v>Laisvalaikis</c:v>
                </c:pt>
                <c:pt idx="6">
                  <c:v>Maistas ir gėrimai</c:v>
                </c:pt>
                <c:pt idx="7">
                  <c:v>Paslaugos</c:v>
                </c:pt>
                <c:pt idx="8">
                  <c:v>Prekyba</c:v>
                </c:pt>
                <c:pt idx="9">
                  <c:v>Santykiai su žmonėmis</c:v>
                </c:pt>
                <c:pt idx="10">
                  <c:v>Sveikata ir higiena</c:v>
                </c:pt>
                <c:pt idx="11">
                  <c:v>Švietimas ir mokslas</c:v>
                </c:pt>
              </c:strCache>
            </c:strRef>
          </c:cat>
          <c:val>
            <c:numRef>
              <c:f>'📊 Results'!$F$20:$F$31</c:f>
              <c:numCache>
                <c:formatCode>General</c:formatCode>
                <c:ptCount val="12"/>
                <c:pt idx="0">
                  <c:v>14</c:v>
                </c:pt>
                <c:pt idx="1">
                  <c:v>12</c:v>
                </c:pt>
                <c:pt idx="2">
                  <c:v>8</c:v>
                </c:pt>
                <c:pt idx="3">
                  <c:v>20</c:v>
                </c:pt>
                <c:pt idx="4">
                  <c:v>16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26</c:v>
                </c:pt>
                <c:pt idx="10">
                  <c:v>11</c:v>
                </c:pt>
                <c:pt idx="11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7F0-46D2-8885-C19FBEACB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7930186"/>
        <c:axId val="249119985"/>
      </c:barChart>
      <c:catAx>
        <c:axId val="1987930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9119985"/>
        <c:crosses val="autoZero"/>
        <c:auto val="1"/>
        <c:lblAlgn val="ctr"/>
        <c:lblOffset val="100"/>
        <c:noMultiLvlLbl val="1"/>
      </c:catAx>
      <c:valAx>
        <c:axId val="249119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79301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16</xdr:row>
      <xdr:rowOff>19050</xdr:rowOff>
    </xdr:from>
    <xdr:ext cx="5314950" cy="3286125"/>
    <xdr:graphicFrame macro="">
      <xdr:nvGraphicFramePr>
        <xdr:cNvPr id="2116574049" name="Chart 1" title="Chart">
          <a:extLst>
            <a:ext uri="{FF2B5EF4-FFF2-40B4-BE49-F238E27FC236}">
              <a16:creationId xmlns:a16="http://schemas.microsoft.com/office/drawing/2014/main" id="{00000000-0008-0000-0200-0000615B2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571500</xdr:colOff>
      <xdr:row>33</xdr:row>
      <xdr:rowOff>76200</xdr:rowOff>
    </xdr:from>
    <xdr:ext cx="5314950" cy="3533775"/>
    <xdr:graphicFrame macro="">
      <xdr:nvGraphicFramePr>
        <xdr:cNvPr id="53736523" name="Chart 2" title="Chart">
          <a:extLst>
            <a:ext uri="{FF2B5EF4-FFF2-40B4-BE49-F238E27FC236}">
              <a16:creationId xmlns:a16="http://schemas.microsoft.com/office/drawing/2014/main" id="{00000000-0008-0000-0200-00004BF43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8</xdr:row>
      <xdr:rowOff>180975</xdr:rowOff>
    </xdr:from>
    <xdr:ext cx="5314950" cy="3286125"/>
    <xdr:graphicFrame macro="">
      <xdr:nvGraphicFramePr>
        <xdr:cNvPr id="738254284" name="Chart 3" title="Chart">
          <a:extLst>
            <a:ext uri="{FF2B5EF4-FFF2-40B4-BE49-F238E27FC236}">
              <a16:creationId xmlns:a16="http://schemas.microsoft.com/office/drawing/2014/main" id="{00000000-0008-0000-0300-0000CCDD0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showGridLines="0" workbookViewId="0">
      <selection activeCell="A36" sqref="A36"/>
    </sheetView>
  </sheetViews>
  <sheetFormatPr defaultColWidth="14.3984375" defaultRowHeight="15" customHeight="1"/>
  <cols>
    <col min="1" max="1" width="67.53125" customWidth="1"/>
    <col min="2" max="2" width="90" customWidth="1"/>
  </cols>
  <sheetData>
    <row r="1" spans="1:2" ht="24.75">
      <c r="A1" s="1" t="s">
        <v>0</v>
      </c>
      <c r="B1" s="2" t="s">
        <v>1</v>
      </c>
    </row>
    <row r="2" spans="1:2" ht="14.25">
      <c r="A2" s="3"/>
      <c r="B2" s="3"/>
    </row>
    <row r="3" spans="1:2" ht="17.25">
      <c r="A3" s="4"/>
      <c r="B3" s="5" t="s">
        <v>2</v>
      </c>
    </row>
    <row r="4" spans="1:2" ht="14.25">
      <c r="A4" s="3"/>
      <c r="B4" s="3"/>
    </row>
    <row r="5" spans="1:2">
      <c r="A5" s="6"/>
      <c r="B5" s="6" t="s">
        <v>3</v>
      </c>
    </row>
    <row r="6" spans="1:2">
      <c r="A6" s="6"/>
      <c r="B6" s="6" t="s">
        <v>4</v>
      </c>
    </row>
    <row r="7" spans="1:2">
      <c r="A7" s="6"/>
      <c r="B7" s="6" t="s">
        <v>5</v>
      </c>
    </row>
    <row r="8" spans="1:2">
      <c r="A8" s="6"/>
      <c r="B8" s="6" t="s">
        <v>6</v>
      </c>
    </row>
    <row r="9" spans="1:2" ht="14.25">
      <c r="A9" s="3"/>
      <c r="B9" s="3" t="s">
        <v>7</v>
      </c>
    </row>
    <row r="10" spans="1:2" ht="14.25">
      <c r="A10" s="3"/>
      <c r="B10" s="3" t="s">
        <v>8</v>
      </c>
    </row>
    <row r="11" spans="1:2" ht="14.25">
      <c r="A11" s="3"/>
      <c r="B11" s="3" t="s">
        <v>9</v>
      </c>
    </row>
    <row r="12" spans="1:2">
      <c r="A12" s="6"/>
      <c r="B12" s="6" t="s">
        <v>10</v>
      </c>
    </row>
    <row r="13" spans="1:2">
      <c r="A13" s="6"/>
      <c r="B13" s="6" t="s">
        <v>11</v>
      </c>
    </row>
    <row r="14" spans="1:2">
      <c r="A14" s="6"/>
      <c r="B14" s="6" t="s">
        <v>12</v>
      </c>
    </row>
    <row r="15" spans="1:2" ht="14.25">
      <c r="A15" s="3"/>
      <c r="B15" s="3"/>
    </row>
    <row r="16" spans="1:2" ht="17.25">
      <c r="A16" s="7"/>
      <c r="B16" s="8" t="s">
        <v>13</v>
      </c>
    </row>
    <row r="17" spans="1:2" ht="14.25">
      <c r="A17" s="3"/>
      <c r="B17" s="3"/>
    </row>
    <row r="18" spans="1:2" ht="14.25">
      <c r="A18" s="3"/>
      <c r="B18" s="3" t="s">
        <v>14</v>
      </c>
    </row>
    <row r="19" spans="1:2" ht="14.25">
      <c r="A19" s="3"/>
      <c r="B19" s="3" t="s">
        <v>15</v>
      </c>
    </row>
    <row r="20" spans="1:2" ht="14.25">
      <c r="A20" s="3"/>
      <c r="B20" s="3" t="s">
        <v>16</v>
      </c>
    </row>
    <row r="21" spans="1:2" ht="15.75" customHeight="1">
      <c r="A21" s="3"/>
      <c r="B21" s="3" t="s">
        <v>17</v>
      </c>
    </row>
    <row r="22" spans="1:2" ht="15.75" customHeight="1">
      <c r="A22" s="3"/>
      <c r="B22" s="3"/>
    </row>
    <row r="23" spans="1:2" ht="15.75" customHeight="1">
      <c r="A23" s="9"/>
      <c r="B23" s="10" t="s">
        <v>18</v>
      </c>
    </row>
    <row r="24" spans="1:2" ht="15.75" customHeight="1">
      <c r="A24" s="3"/>
      <c r="B24" s="3"/>
    </row>
    <row r="25" spans="1:2" ht="15.75" customHeight="1">
      <c r="A25" s="3"/>
      <c r="B25" s="3" t="s">
        <v>19</v>
      </c>
    </row>
    <row r="26" spans="1:2" ht="15.75" customHeight="1">
      <c r="A26" s="3"/>
      <c r="B26" s="3" t="s">
        <v>20</v>
      </c>
    </row>
    <row r="27" spans="1:2" ht="15.75" customHeight="1">
      <c r="A27" s="3"/>
      <c r="B27" s="3"/>
    </row>
    <row r="28" spans="1:2" ht="15.75" customHeight="1">
      <c r="A28" s="11"/>
      <c r="B28" s="12" t="s">
        <v>21</v>
      </c>
    </row>
    <row r="29" spans="1:2" ht="15.75" customHeight="1">
      <c r="A29" s="3"/>
      <c r="B29" s="3"/>
    </row>
    <row r="30" spans="1:2" ht="15.75" customHeight="1">
      <c r="A30" s="3"/>
      <c r="B30" s="3" t="s">
        <v>22</v>
      </c>
    </row>
    <row r="31" spans="1:2" ht="15.75" customHeight="1">
      <c r="A31" s="3"/>
      <c r="B31" s="3" t="s">
        <v>23</v>
      </c>
    </row>
    <row r="32" spans="1:2" ht="15.75" customHeight="1">
      <c r="A32" s="3"/>
      <c r="B32" s="3" t="s">
        <v>24</v>
      </c>
    </row>
    <row r="33" spans="1:2" ht="15.75" customHeight="1">
      <c r="A33" s="3"/>
      <c r="B33" s="3" t="s">
        <v>25</v>
      </c>
    </row>
    <row r="34" spans="1:2" ht="15.75" customHeight="1">
      <c r="A34" s="3"/>
      <c r="B34" s="3"/>
    </row>
    <row r="35" spans="1:2" ht="15.75" customHeight="1">
      <c r="A35" s="13"/>
      <c r="B35" s="13" t="s">
        <v>26</v>
      </c>
    </row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5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14.3984375" defaultRowHeight="15" customHeight="1"/>
  <cols>
    <col min="1" max="2" width="6" customWidth="1"/>
    <col min="3" max="3" width="22" customWidth="1"/>
    <col min="4" max="4" width="20" customWidth="1"/>
    <col min="5" max="5" width="8" customWidth="1"/>
    <col min="6" max="6" width="12" customWidth="1"/>
    <col min="7" max="7" width="41.265625" customWidth="1"/>
    <col min="8" max="8" width="55" customWidth="1"/>
  </cols>
  <sheetData>
    <row r="1" spans="1:8" ht="14.25">
      <c r="A1" s="14"/>
      <c r="B1" s="15" t="s">
        <v>27</v>
      </c>
      <c r="C1" s="16" t="s">
        <v>28</v>
      </c>
      <c r="D1" s="17" t="s">
        <v>29</v>
      </c>
      <c r="E1" s="18" t="s">
        <v>30</v>
      </c>
      <c r="F1" s="19" t="s">
        <v>31</v>
      </c>
      <c r="G1" s="20" t="s">
        <v>32</v>
      </c>
      <c r="H1" s="21" t="s">
        <v>33</v>
      </c>
    </row>
    <row r="2" spans="1:8" ht="14.25">
      <c r="B2" s="22">
        <v>1</v>
      </c>
      <c r="C2" s="22" t="s">
        <v>34</v>
      </c>
      <c r="D2" s="22" t="s">
        <v>35</v>
      </c>
      <c r="E2" s="22" t="s">
        <v>36</v>
      </c>
      <c r="F2" t="s">
        <v>796</v>
      </c>
      <c r="G2" t="s">
        <v>799</v>
      </c>
      <c r="H2" s="21" t="s">
        <v>7</v>
      </c>
    </row>
    <row r="3" spans="1:8" ht="14.25">
      <c r="B3" s="22">
        <v>2</v>
      </c>
      <c r="C3" s="22" t="s">
        <v>37</v>
      </c>
      <c r="D3" s="22" t="s">
        <v>35</v>
      </c>
      <c r="E3" s="22" t="s">
        <v>36</v>
      </c>
      <c r="F3" t="s">
        <v>797</v>
      </c>
      <c r="G3" t="s">
        <v>800</v>
      </c>
      <c r="H3" s="21" t="s">
        <v>8</v>
      </c>
    </row>
    <row r="4" spans="1:8" ht="14.25">
      <c r="B4" s="22">
        <v>3</v>
      </c>
      <c r="C4" s="22" t="s">
        <v>38</v>
      </c>
      <c r="D4" s="22" t="s">
        <v>35</v>
      </c>
      <c r="E4" s="22" t="s">
        <v>36</v>
      </c>
      <c r="F4" t="s">
        <v>796</v>
      </c>
      <c r="G4" t="s">
        <v>801</v>
      </c>
      <c r="H4" s="21" t="s">
        <v>9</v>
      </c>
    </row>
    <row r="5" spans="1:8" ht="14.25">
      <c r="B5" s="22">
        <v>4</v>
      </c>
      <c r="C5" s="22" t="s">
        <v>39</v>
      </c>
      <c r="D5" s="22" t="s">
        <v>35</v>
      </c>
      <c r="E5" s="22" t="s">
        <v>36</v>
      </c>
      <c r="F5" t="s">
        <v>796</v>
      </c>
      <c r="G5" t="s">
        <v>802</v>
      </c>
    </row>
    <row r="6" spans="1:8" ht="14.25">
      <c r="B6" s="22">
        <v>5</v>
      </c>
      <c r="C6" s="22" t="s">
        <v>40</v>
      </c>
      <c r="D6" s="22" t="s">
        <v>35</v>
      </c>
      <c r="E6" s="22" t="s">
        <v>36</v>
      </c>
      <c r="F6" t="s">
        <v>797</v>
      </c>
      <c r="G6" t="s">
        <v>803</v>
      </c>
    </row>
    <row r="7" spans="1:8" ht="14.25">
      <c r="B7" s="22">
        <v>6</v>
      </c>
      <c r="C7" s="22" t="s">
        <v>41</v>
      </c>
      <c r="D7" s="22" t="s">
        <v>35</v>
      </c>
      <c r="E7" s="22" t="s">
        <v>36</v>
      </c>
      <c r="F7" t="s">
        <v>797</v>
      </c>
      <c r="G7" t="s">
        <v>804</v>
      </c>
    </row>
    <row r="8" spans="1:8" ht="14.25">
      <c r="B8" s="22">
        <v>7</v>
      </c>
      <c r="C8" s="22" t="s">
        <v>42</v>
      </c>
      <c r="D8" s="22" t="s">
        <v>35</v>
      </c>
      <c r="E8" s="22" t="s">
        <v>36</v>
      </c>
      <c r="F8" t="s">
        <v>796</v>
      </c>
      <c r="G8" t="s">
        <v>805</v>
      </c>
    </row>
    <row r="9" spans="1:8" ht="14.25">
      <c r="B9" s="22">
        <v>8</v>
      </c>
      <c r="C9" s="22" t="s">
        <v>43</v>
      </c>
      <c r="D9" s="22" t="s">
        <v>35</v>
      </c>
      <c r="E9" s="22" t="s">
        <v>36</v>
      </c>
      <c r="F9" t="s">
        <v>796</v>
      </c>
      <c r="G9" t="s">
        <v>806</v>
      </c>
    </row>
    <row r="10" spans="1:8" ht="14.25">
      <c r="B10" s="22">
        <v>9</v>
      </c>
      <c r="C10" s="22" t="s">
        <v>44</v>
      </c>
      <c r="D10" s="22" t="s">
        <v>35</v>
      </c>
      <c r="E10" s="22" t="s">
        <v>36</v>
      </c>
      <c r="F10" t="s">
        <v>796</v>
      </c>
      <c r="G10" t="s">
        <v>807</v>
      </c>
    </row>
    <row r="11" spans="1:8" ht="14.25">
      <c r="B11" s="22">
        <v>10</v>
      </c>
      <c r="C11" s="22" t="s">
        <v>45</v>
      </c>
      <c r="D11" s="22" t="s">
        <v>35</v>
      </c>
      <c r="E11" s="22" t="s">
        <v>36</v>
      </c>
      <c r="F11" t="s">
        <v>797</v>
      </c>
      <c r="G11" t="s">
        <v>808</v>
      </c>
    </row>
    <row r="12" spans="1:8" ht="14.25">
      <c r="B12" s="22">
        <v>11</v>
      </c>
      <c r="C12" s="22" t="s">
        <v>46</v>
      </c>
      <c r="D12" s="22" t="s">
        <v>35</v>
      </c>
      <c r="E12" s="22" t="s">
        <v>36</v>
      </c>
      <c r="F12" t="s">
        <v>797</v>
      </c>
      <c r="G12" t="s">
        <v>809</v>
      </c>
    </row>
    <row r="13" spans="1:8" ht="14.25">
      <c r="B13" s="22">
        <v>12</v>
      </c>
      <c r="C13" s="22" t="s">
        <v>47</v>
      </c>
      <c r="D13" s="22" t="s">
        <v>35</v>
      </c>
      <c r="E13" s="22" t="s">
        <v>36</v>
      </c>
      <c r="F13" t="s">
        <v>797</v>
      </c>
      <c r="G13" t="s">
        <v>810</v>
      </c>
    </row>
    <row r="14" spans="1:8" ht="14.25">
      <c r="B14" s="22">
        <v>13</v>
      </c>
      <c r="C14" s="22" t="s">
        <v>48</v>
      </c>
      <c r="D14" s="22" t="s">
        <v>35</v>
      </c>
      <c r="E14" s="22" t="s">
        <v>36</v>
      </c>
      <c r="F14" t="s">
        <v>796</v>
      </c>
      <c r="G14" t="s">
        <v>811</v>
      </c>
    </row>
    <row r="15" spans="1:8" ht="14.25">
      <c r="B15" s="22">
        <v>14</v>
      </c>
      <c r="C15" s="22" t="s">
        <v>49</v>
      </c>
      <c r="D15" s="22" t="s">
        <v>35</v>
      </c>
      <c r="E15" s="22" t="s">
        <v>36</v>
      </c>
      <c r="F15" t="s">
        <v>796</v>
      </c>
      <c r="G15" t="s">
        <v>812</v>
      </c>
    </row>
    <row r="16" spans="1:8" ht="14.25">
      <c r="B16" s="22">
        <v>15</v>
      </c>
      <c r="C16" s="22" t="s">
        <v>50</v>
      </c>
      <c r="D16" s="22" t="s">
        <v>35</v>
      </c>
      <c r="E16" s="22" t="s">
        <v>36</v>
      </c>
      <c r="F16" t="s">
        <v>796</v>
      </c>
      <c r="G16" t="s">
        <v>813</v>
      </c>
    </row>
    <row r="17" spans="2:7" ht="14.25">
      <c r="B17" s="22">
        <v>16</v>
      </c>
      <c r="C17" s="22" t="s">
        <v>51</v>
      </c>
      <c r="D17" s="22" t="s">
        <v>35</v>
      </c>
      <c r="E17" s="22" t="s">
        <v>36</v>
      </c>
      <c r="F17" t="s">
        <v>796</v>
      </c>
      <c r="G17" t="s">
        <v>814</v>
      </c>
    </row>
    <row r="18" spans="2:7" ht="14.25">
      <c r="B18" s="22">
        <v>17</v>
      </c>
      <c r="C18" s="22" t="s">
        <v>52</v>
      </c>
      <c r="D18" s="22" t="s">
        <v>35</v>
      </c>
      <c r="E18" s="22" t="s">
        <v>36</v>
      </c>
      <c r="F18" t="s">
        <v>796</v>
      </c>
      <c r="G18" t="s">
        <v>815</v>
      </c>
    </row>
    <row r="19" spans="2:7" ht="14.25">
      <c r="B19" s="22">
        <v>18</v>
      </c>
      <c r="C19" s="22" t="s">
        <v>53</v>
      </c>
      <c r="D19" s="22" t="s">
        <v>35</v>
      </c>
      <c r="E19" s="22" t="s">
        <v>36</v>
      </c>
      <c r="F19" t="s">
        <v>797</v>
      </c>
      <c r="G19" t="s">
        <v>816</v>
      </c>
    </row>
    <row r="20" spans="2:7" ht="14.25">
      <c r="B20" s="22">
        <v>19</v>
      </c>
      <c r="C20" s="22" t="s">
        <v>54</v>
      </c>
      <c r="D20" s="22" t="s">
        <v>35</v>
      </c>
      <c r="E20" s="22" t="s">
        <v>36</v>
      </c>
      <c r="F20" t="s">
        <v>796</v>
      </c>
      <c r="G20" t="s">
        <v>817</v>
      </c>
    </row>
    <row r="21" spans="2:7" ht="14.25">
      <c r="B21" s="22">
        <v>20</v>
      </c>
      <c r="C21" s="22" t="s">
        <v>55</v>
      </c>
      <c r="D21" s="22" t="s">
        <v>35</v>
      </c>
      <c r="E21" s="22" t="s">
        <v>36</v>
      </c>
      <c r="F21" t="s">
        <v>796</v>
      </c>
      <c r="G21" t="s">
        <v>818</v>
      </c>
    </row>
    <row r="22" spans="2:7" ht="14.25">
      <c r="B22" s="22">
        <v>21</v>
      </c>
      <c r="C22" s="22" t="s">
        <v>56</v>
      </c>
      <c r="D22" s="22" t="s">
        <v>35</v>
      </c>
      <c r="E22" s="22" t="s">
        <v>36</v>
      </c>
      <c r="F22" t="s">
        <v>796</v>
      </c>
      <c r="G22" t="s">
        <v>819</v>
      </c>
    </row>
    <row r="23" spans="2:7" ht="14.25">
      <c r="B23" s="22">
        <v>22</v>
      </c>
      <c r="C23" s="22" t="s">
        <v>57</v>
      </c>
      <c r="D23" s="22" t="s">
        <v>35</v>
      </c>
      <c r="E23" s="22" t="s">
        <v>36</v>
      </c>
      <c r="F23" t="s">
        <v>796</v>
      </c>
      <c r="G23" t="s">
        <v>820</v>
      </c>
    </row>
    <row r="24" spans="2:7" ht="14.25">
      <c r="B24" s="22">
        <v>23</v>
      </c>
      <c r="C24" s="22" t="s">
        <v>58</v>
      </c>
      <c r="D24" s="22" t="s">
        <v>35</v>
      </c>
      <c r="E24" s="22" t="s">
        <v>36</v>
      </c>
      <c r="F24" t="s">
        <v>797</v>
      </c>
      <c r="G24" t="s">
        <v>821</v>
      </c>
    </row>
    <row r="25" spans="2:7" ht="14.25">
      <c r="B25" s="22">
        <v>24</v>
      </c>
      <c r="C25" s="22" t="s">
        <v>59</v>
      </c>
      <c r="D25" s="22" t="s">
        <v>35</v>
      </c>
      <c r="E25" s="22" t="s">
        <v>60</v>
      </c>
      <c r="F25" t="s">
        <v>797</v>
      </c>
      <c r="G25" t="s">
        <v>822</v>
      </c>
    </row>
    <row r="26" spans="2:7" ht="14.25">
      <c r="B26" s="22">
        <v>25</v>
      </c>
      <c r="C26" s="22" t="s">
        <v>61</v>
      </c>
      <c r="D26" s="22" t="s">
        <v>35</v>
      </c>
      <c r="E26" s="22" t="s">
        <v>60</v>
      </c>
      <c r="F26" t="s">
        <v>797</v>
      </c>
      <c r="G26" t="s">
        <v>823</v>
      </c>
    </row>
    <row r="27" spans="2:7" ht="14.25">
      <c r="B27" s="22">
        <v>26</v>
      </c>
      <c r="C27" s="22" t="s">
        <v>62</v>
      </c>
      <c r="D27" s="22" t="s">
        <v>35</v>
      </c>
      <c r="E27" s="22" t="s">
        <v>60</v>
      </c>
      <c r="F27" t="s">
        <v>797</v>
      </c>
      <c r="G27" t="s">
        <v>824</v>
      </c>
    </row>
    <row r="28" spans="2:7" ht="14.25">
      <c r="B28" s="22">
        <v>27</v>
      </c>
      <c r="C28" s="22" t="s">
        <v>63</v>
      </c>
      <c r="D28" s="22" t="s">
        <v>35</v>
      </c>
      <c r="E28" s="22" t="s">
        <v>60</v>
      </c>
      <c r="F28" t="s">
        <v>797</v>
      </c>
      <c r="G28" t="s">
        <v>825</v>
      </c>
    </row>
    <row r="29" spans="2:7" ht="14.25">
      <c r="B29" s="22">
        <v>28</v>
      </c>
      <c r="C29" s="22" t="s">
        <v>64</v>
      </c>
      <c r="D29" s="22" t="s">
        <v>35</v>
      </c>
      <c r="E29" s="22" t="s">
        <v>60</v>
      </c>
      <c r="F29" t="s">
        <v>797</v>
      </c>
      <c r="G29" t="s">
        <v>826</v>
      </c>
    </row>
    <row r="30" spans="2:7" ht="14.25">
      <c r="B30" s="22">
        <v>29</v>
      </c>
      <c r="C30" s="22" t="s">
        <v>65</v>
      </c>
      <c r="D30" s="22" t="s">
        <v>35</v>
      </c>
      <c r="E30" s="22" t="s">
        <v>60</v>
      </c>
      <c r="F30" t="s">
        <v>796</v>
      </c>
      <c r="G30" t="s">
        <v>827</v>
      </c>
    </row>
    <row r="31" spans="2:7" ht="14.25">
      <c r="B31" s="22">
        <v>30</v>
      </c>
      <c r="C31" s="22" t="s">
        <v>66</v>
      </c>
      <c r="D31" s="22" t="s">
        <v>35</v>
      </c>
      <c r="E31" s="22" t="s">
        <v>60</v>
      </c>
      <c r="F31" t="s">
        <v>796</v>
      </c>
      <c r="G31" t="s">
        <v>828</v>
      </c>
    </row>
    <row r="32" spans="2:7" ht="14.25">
      <c r="B32" s="22">
        <v>31</v>
      </c>
      <c r="C32" s="22" t="s">
        <v>67</v>
      </c>
      <c r="D32" s="22" t="s">
        <v>35</v>
      </c>
      <c r="E32" s="22" t="s">
        <v>60</v>
      </c>
      <c r="F32" t="s">
        <v>796</v>
      </c>
      <c r="G32" t="s">
        <v>829</v>
      </c>
    </row>
    <row r="33" spans="2:7" ht="14.25">
      <c r="B33" s="22">
        <v>32</v>
      </c>
      <c r="C33" s="22" t="s">
        <v>68</v>
      </c>
      <c r="D33" s="22" t="s">
        <v>35</v>
      </c>
      <c r="E33" s="22" t="s">
        <v>60</v>
      </c>
      <c r="F33" t="s">
        <v>797</v>
      </c>
      <c r="G33" t="s">
        <v>831</v>
      </c>
    </row>
    <row r="34" spans="2:7" ht="14.25">
      <c r="B34" s="22">
        <v>33</v>
      </c>
      <c r="C34" s="22" t="s">
        <v>69</v>
      </c>
      <c r="D34" s="22" t="s">
        <v>35</v>
      </c>
      <c r="E34" s="22" t="s">
        <v>60</v>
      </c>
      <c r="F34" t="s">
        <v>797</v>
      </c>
      <c r="G34" t="s">
        <v>830</v>
      </c>
    </row>
    <row r="35" spans="2:7" ht="14.25">
      <c r="B35" s="22">
        <v>34</v>
      </c>
      <c r="C35" s="22" t="s">
        <v>70</v>
      </c>
      <c r="D35" s="22" t="s">
        <v>35</v>
      </c>
      <c r="E35" s="22" t="s">
        <v>60</v>
      </c>
      <c r="F35" t="s">
        <v>796</v>
      </c>
      <c r="G35" t="s">
        <v>832</v>
      </c>
    </row>
    <row r="36" spans="2:7" ht="14.25">
      <c r="B36" s="22">
        <v>35</v>
      </c>
      <c r="C36" s="22" t="s">
        <v>71</v>
      </c>
      <c r="D36" s="22" t="s">
        <v>35</v>
      </c>
      <c r="E36" s="22" t="s">
        <v>60</v>
      </c>
      <c r="F36" t="s">
        <v>796</v>
      </c>
      <c r="G36" t="s">
        <v>833</v>
      </c>
    </row>
    <row r="37" spans="2:7" ht="14.25">
      <c r="B37" s="22">
        <v>36</v>
      </c>
      <c r="C37" s="22" t="s">
        <v>72</v>
      </c>
      <c r="D37" s="22" t="s">
        <v>35</v>
      </c>
      <c r="E37" s="22" t="s">
        <v>60</v>
      </c>
      <c r="F37" t="s">
        <v>797</v>
      </c>
      <c r="G37" t="s">
        <v>834</v>
      </c>
    </row>
    <row r="38" spans="2:7" ht="14.25">
      <c r="B38" s="22">
        <v>37</v>
      </c>
      <c r="C38" s="22" t="s">
        <v>73</v>
      </c>
      <c r="D38" s="22" t="s">
        <v>35</v>
      </c>
      <c r="E38" s="22" t="s">
        <v>60</v>
      </c>
      <c r="F38" t="s">
        <v>796</v>
      </c>
      <c r="G38" t="s">
        <v>835</v>
      </c>
    </row>
    <row r="39" spans="2:7" ht="14.25">
      <c r="B39" s="22">
        <v>38</v>
      </c>
      <c r="C39" s="22" t="s">
        <v>74</v>
      </c>
      <c r="D39" s="22" t="s">
        <v>35</v>
      </c>
      <c r="E39" s="22" t="s">
        <v>60</v>
      </c>
      <c r="F39" t="s">
        <v>796</v>
      </c>
      <c r="G39" t="s">
        <v>836</v>
      </c>
    </row>
    <row r="40" spans="2:7" ht="14.25">
      <c r="B40" s="22">
        <v>39</v>
      </c>
      <c r="C40" s="22" t="s">
        <v>75</v>
      </c>
      <c r="D40" s="22" t="s">
        <v>35</v>
      </c>
      <c r="E40" s="22" t="s">
        <v>60</v>
      </c>
      <c r="F40" t="s">
        <v>796</v>
      </c>
      <c r="G40" t="s">
        <v>837</v>
      </c>
    </row>
    <row r="41" spans="2:7" ht="14.25">
      <c r="B41" s="22">
        <v>40</v>
      </c>
      <c r="C41" s="22" t="s">
        <v>76</v>
      </c>
      <c r="D41" s="22" t="s">
        <v>35</v>
      </c>
      <c r="E41" s="22" t="s">
        <v>60</v>
      </c>
      <c r="F41" t="s">
        <v>796</v>
      </c>
      <c r="G41" t="s">
        <v>838</v>
      </c>
    </row>
    <row r="42" spans="2:7" ht="14.25">
      <c r="B42" s="22">
        <v>41</v>
      </c>
      <c r="C42" s="22" t="s">
        <v>77</v>
      </c>
      <c r="D42" s="22" t="s">
        <v>35</v>
      </c>
      <c r="E42" s="22" t="s">
        <v>60</v>
      </c>
      <c r="F42" t="s">
        <v>798</v>
      </c>
      <c r="G42" t="s">
        <v>839</v>
      </c>
    </row>
    <row r="43" spans="2:7" ht="14.25">
      <c r="B43" s="22">
        <v>42</v>
      </c>
      <c r="C43" s="22" t="s">
        <v>78</v>
      </c>
      <c r="D43" s="22" t="s">
        <v>35</v>
      </c>
      <c r="E43" s="22" t="s">
        <v>60</v>
      </c>
      <c r="F43" t="s">
        <v>797</v>
      </c>
      <c r="G43" t="s">
        <v>840</v>
      </c>
    </row>
    <row r="44" spans="2:7" ht="14.25">
      <c r="B44" s="22">
        <v>43</v>
      </c>
      <c r="C44" s="22" t="s">
        <v>79</v>
      </c>
      <c r="D44" s="22" t="s">
        <v>35</v>
      </c>
      <c r="E44" s="22" t="s">
        <v>60</v>
      </c>
      <c r="F44" t="s">
        <v>796</v>
      </c>
      <c r="G44" t="s">
        <v>841</v>
      </c>
    </row>
    <row r="45" spans="2:7" ht="14.25">
      <c r="B45" s="22">
        <v>44</v>
      </c>
      <c r="C45" s="22" t="s">
        <v>80</v>
      </c>
      <c r="D45" s="22" t="s">
        <v>35</v>
      </c>
      <c r="E45" s="22" t="s">
        <v>60</v>
      </c>
      <c r="F45" t="s">
        <v>796</v>
      </c>
      <c r="G45" t="s">
        <v>842</v>
      </c>
    </row>
    <row r="46" spans="2:7" ht="14.25">
      <c r="B46" s="22">
        <v>45</v>
      </c>
      <c r="C46" s="22" t="s">
        <v>81</v>
      </c>
      <c r="D46" s="22" t="s">
        <v>35</v>
      </c>
      <c r="E46" s="22" t="s">
        <v>60</v>
      </c>
      <c r="F46" t="s">
        <v>797</v>
      </c>
      <c r="G46" t="s">
        <v>843</v>
      </c>
    </row>
    <row r="47" spans="2:7" ht="14.25">
      <c r="B47" s="22">
        <v>46</v>
      </c>
      <c r="C47" s="22" t="s">
        <v>82</v>
      </c>
      <c r="D47" s="22" t="s">
        <v>35</v>
      </c>
      <c r="E47" s="22" t="s">
        <v>60</v>
      </c>
      <c r="F47" t="s">
        <v>797</v>
      </c>
      <c r="G47" t="s">
        <v>844</v>
      </c>
    </row>
    <row r="48" spans="2:7" ht="14.25">
      <c r="B48" s="22">
        <v>47</v>
      </c>
      <c r="C48" s="22" t="s">
        <v>83</v>
      </c>
      <c r="D48" s="22" t="s">
        <v>35</v>
      </c>
      <c r="E48" s="22" t="s">
        <v>84</v>
      </c>
      <c r="F48" s="44" t="s">
        <v>796</v>
      </c>
      <c r="G48" s="44" t="s">
        <v>845</v>
      </c>
    </row>
    <row r="49" spans="2:7" ht="14.25">
      <c r="B49" s="22">
        <v>48</v>
      </c>
      <c r="C49" s="22" t="s">
        <v>85</v>
      </c>
      <c r="D49" s="22" t="s">
        <v>35</v>
      </c>
      <c r="E49" s="22" t="s">
        <v>84</v>
      </c>
      <c r="F49" s="44" t="s">
        <v>796</v>
      </c>
      <c r="G49" s="44" t="s">
        <v>846</v>
      </c>
    </row>
    <row r="50" spans="2:7" ht="14.25">
      <c r="B50" s="22">
        <v>49</v>
      </c>
      <c r="C50" s="22" t="s">
        <v>86</v>
      </c>
      <c r="D50" s="22" t="s">
        <v>35</v>
      </c>
      <c r="E50" s="22" t="s">
        <v>84</v>
      </c>
      <c r="F50" s="44" t="s">
        <v>798</v>
      </c>
      <c r="G50" s="44" t="s">
        <v>847</v>
      </c>
    </row>
    <row r="51" spans="2:7" ht="14.25">
      <c r="B51" s="22">
        <v>50</v>
      </c>
      <c r="C51" s="22" t="s">
        <v>87</v>
      </c>
      <c r="D51" s="22" t="s">
        <v>35</v>
      </c>
      <c r="E51" s="22" t="s">
        <v>84</v>
      </c>
      <c r="F51" s="44" t="s">
        <v>798</v>
      </c>
      <c r="G51" s="44" t="s">
        <v>848</v>
      </c>
    </row>
    <row r="52" spans="2:7" ht="14.25">
      <c r="B52" s="22">
        <v>51</v>
      </c>
      <c r="C52" s="22" t="s">
        <v>88</v>
      </c>
      <c r="D52" s="22" t="s">
        <v>35</v>
      </c>
      <c r="E52" s="22" t="s">
        <v>84</v>
      </c>
      <c r="F52" s="44" t="s">
        <v>796</v>
      </c>
      <c r="G52" s="44" t="s">
        <v>849</v>
      </c>
    </row>
    <row r="53" spans="2:7" ht="14.25">
      <c r="B53" s="22">
        <v>52</v>
      </c>
      <c r="C53" s="22" t="s">
        <v>89</v>
      </c>
      <c r="D53" s="22" t="s">
        <v>35</v>
      </c>
      <c r="E53" s="22" t="s">
        <v>84</v>
      </c>
      <c r="F53" s="44" t="s">
        <v>797</v>
      </c>
      <c r="G53" s="44" t="s">
        <v>850</v>
      </c>
    </row>
    <row r="54" spans="2:7" ht="14.25">
      <c r="B54" s="22">
        <v>53</v>
      </c>
      <c r="C54" s="22" t="s">
        <v>90</v>
      </c>
      <c r="D54" s="22" t="s">
        <v>35</v>
      </c>
      <c r="E54" s="22" t="s">
        <v>84</v>
      </c>
      <c r="F54" s="44" t="s">
        <v>797</v>
      </c>
      <c r="G54" s="44" t="s">
        <v>851</v>
      </c>
    </row>
    <row r="55" spans="2:7" ht="14.25">
      <c r="B55" s="22">
        <v>54</v>
      </c>
      <c r="C55" s="22" t="s">
        <v>91</v>
      </c>
      <c r="D55" s="22" t="s">
        <v>35</v>
      </c>
      <c r="E55" s="22" t="s">
        <v>84</v>
      </c>
      <c r="F55" s="44" t="s">
        <v>796</v>
      </c>
      <c r="G55" s="44" t="s">
        <v>852</v>
      </c>
    </row>
    <row r="56" spans="2:7" ht="14.25">
      <c r="B56" s="22">
        <v>55</v>
      </c>
      <c r="C56" s="22" t="s">
        <v>92</v>
      </c>
      <c r="D56" s="22" t="s">
        <v>35</v>
      </c>
      <c r="E56" s="22" t="s">
        <v>84</v>
      </c>
      <c r="F56" s="44" t="s">
        <v>798</v>
      </c>
      <c r="G56" s="44" t="s">
        <v>853</v>
      </c>
    </row>
    <row r="57" spans="2:7" ht="14.25">
      <c r="B57" s="22">
        <v>56</v>
      </c>
      <c r="C57" s="22" t="s">
        <v>93</v>
      </c>
      <c r="D57" s="22" t="s">
        <v>35</v>
      </c>
      <c r="E57" s="22" t="s">
        <v>84</v>
      </c>
      <c r="F57" s="44" t="s">
        <v>798</v>
      </c>
      <c r="G57" s="44" t="s">
        <v>854</v>
      </c>
    </row>
    <row r="58" spans="2:7" ht="14.25">
      <c r="B58" s="22">
        <v>57</v>
      </c>
      <c r="C58" s="22" t="s">
        <v>94</v>
      </c>
      <c r="D58" s="22" t="s">
        <v>35</v>
      </c>
      <c r="E58" s="22" t="s">
        <v>84</v>
      </c>
      <c r="F58" s="44" t="s">
        <v>798</v>
      </c>
      <c r="G58" s="44" t="s">
        <v>855</v>
      </c>
    </row>
    <row r="59" spans="2:7" ht="14.25">
      <c r="B59" s="22">
        <v>58</v>
      </c>
      <c r="C59" s="22" t="s">
        <v>95</v>
      </c>
      <c r="D59" s="22" t="s">
        <v>35</v>
      </c>
      <c r="E59" s="22" t="s">
        <v>84</v>
      </c>
      <c r="F59" s="44" t="s">
        <v>798</v>
      </c>
      <c r="G59" s="44" t="s">
        <v>856</v>
      </c>
    </row>
    <row r="60" spans="2:7" ht="14.25">
      <c r="B60" s="22">
        <v>59</v>
      </c>
      <c r="C60" s="22" t="s">
        <v>96</v>
      </c>
      <c r="D60" s="22" t="s">
        <v>35</v>
      </c>
      <c r="E60" s="22" t="s">
        <v>84</v>
      </c>
      <c r="F60" s="44" t="s">
        <v>796</v>
      </c>
      <c r="G60" s="44" t="s">
        <v>857</v>
      </c>
    </row>
    <row r="61" spans="2:7" ht="14.25">
      <c r="B61" s="22">
        <v>60</v>
      </c>
      <c r="C61" s="22" t="s">
        <v>97</v>
      </c>
      <c r="D61" s="22" t="s">
        <v>35</v>
      </c>
      <c r="E61" s="22" t="s">
        <v>84</v>
      </c>
      <c r="F61" s="44" t="s">
        <v>798</v>
      </c>
    </row>
    <row r="62" spans="2:7" ht="14.25">
      <c r="B62" s="22">
        <v>61</v>
      </c>
      <c r="C62" s="22" t="s">
        <v>98</v>
      </c>
      <c r="D62" s="22" t="s">
        <v>35</v>
      </c>
      <c r="E62" s="22" t="s">
        <v>84</v>
      </c>
      <c r="F62" s="44" t="s">
        <v>796</v>
      </c>
      <c r="G62" s="44" t="s">
        <v>858</v>
      </c>
    </row>
    <row r="63" spans="2:7" ht="14.25">
      <c r="B63" s="22">
        <v>62</v>
      </c>
      <c r="C63" s="22" t="s">
        <v>99</v>
      </c>
      <c r="D63" s="22" t="s">
        <v>35</v>
      </c>
      <c r="E63" s="22" t="s">
        <v>84</v>
      </c>
      <c r="F63" s="44" t="s">
        <v>796</v>
      </c>
      <c r="G63" s="44" t="s">
        <v>859</v>
      </c>
    </row>
    <row r="64" spans="2:7" ht="14.25">
      <c r="B64" s="22">
        <v>63</v>
      </c>
      <c r="C64" s="22" t="s">
        <v>100</v>
      </c>
      <c r="D64" s="22" t="s">
        <v>35</v>
      </c>
      <c r="E64" s="22" t="s">
        <v>84</v>
      </c>
      <c r="F64" s="44" t="s">
        <v>796</v>
      </c>
      <c r="G64" s="44" t="s">
        <v>860</v>
      </c>
    </row>
    <row r="65" spans="2:7" ht="14.25">
      <c r="B65" s="22">
        <v>64</v>
      </c>
      <c r="C65" s="22" t="s">
        <v>101</v>
      </c>
      <c r="D65" s="22" t="s">
        <v>35</v>
      </c>
      <c r="E65" s="22" t="s">
        <v>84</v>
      </c>
      <c r="F65" s="44" t="s">
        <v>796</v>
      </c>
      <c r="G65" s="44" t="s">
        <v>861</v>
      </c>
    </row>
    <row r="66" spans="2:7" ht="14.25">
      <c r="B66" s="22">
        <v>65</v>
      </c>
      <c r="C66" s="22" t="s">
        <v>102</v>
      </c>
      <c r="D66" s="22" t="s">
        <v>35</v>
      </c>
      <c r="E66" s="22" t="s">
        <v>84</v>
      </c>
      <c r="F66" s="44" t="s">
        <v>796</v>
      </c>
      <c r="G66" s="44" t="s">
        <v>862</v>
      </c>
    </row>
    <row r="67" spans="2:7" ht="14.25">
      <c r="B67" s="22">
        <v>66</v>
      </c>
      <c r="C67" s="22" t="s">
        <v>103</v>
      </c>
      <c r="D67" s="22" t="s">
        <v>35</v>
      </c>
      <c r="E67" s="22" t="s">
        <v>84</v>
      </c>
      <c r="F67" s="44" t="s">
        <v>796</v>
      </c>
      <c r="G67" s="44" t="s">
        <v>863</v>
      </c>
    </row>
    <row r="68" spans="2:7" ht="14.25">
      <c r="B68" s="22">
        <v>67</v>
      </c>
      <c r="C68" s="22" t="s">
        <v>104</v>
      </c>
      <c r="D68" s="22" t="s">
        <v>35</v>
      </c>
      <c r="E68" s="22" t="s">
        <v>105</v>
      </c>
      <c r="F68" s="44" t="s">
        <v>798</v>
      </c>
      <c r="G68" s="44" t="s">
        <v>864</v>
      </c>
    </row>
    <row r="69" spans="2:7" ht="14.25">
      <c r="B69" s="22">
        <v>68</v>
      </c>
      <c r="C69" s="22" t="s">
        <v>106</v>
      </c>
      <c r="D69" s="22" t="s">
        <v>35</v>
      </c>
      <c r="E69" s="22" t="s">
        <v>105</v>
      </c>
      <c r="F69" s="44" t="s">
        <v>798</v>
      </c>
    </row>
    <row r="70" spans="2:7" ht="14.25">
      <c r="B70" s="22">
        <v>69</v>
      </c>
      <c r="C70" s="22" t="s">
        <v>107</v>
      </c>
      <c r="D70" s="22" t="s">
        <v>35</v>
      </c>
      <c r="E70" s="22" t="s">
        <v>105</v>
      </c>
      <c r="F70" s="44" t="s">
        <v>798</v>
      </c>
    </row>
    <row r="71" spans="2:7" ht="14.25">
      <c r="B71" s="22">
        <v>70</v>
      </c>
      <c r="C71" s="22" t="s">
        <v>108</v>
      </c>
      <c r="D71" s="22" t="s">
        <v>35</v>
      </c>
      <c r="E71" s="22" t="s">
        <v>105</v>
      </c>
      <c r="F71" s="44" t="s">
        <v>798</v>
      </c>
      <c r="G71" s="44" t="s">
        <v>865</v>
      </c>
    </row>
    <row r="72" spans="2:7" ht="14.25">
      <c r="B72" s="22">
        <v>71</v>
      </c>
      <c r="C72" s="22" t="s">
        <v>109</v>
      </c>
      <c r="D72" s="22" t="s">
        <v>35</v>
      </c>
      <c r="E72" s="22" t="s">
        <v>105</v>
      </c>
      <c r="F72" s="44" t="s">
        <v>798</v>
      </c>
    </row>
    <row r="73" spans="2:7" ht="14.25">
      <c r="B73" s="22">
        <v>72</v>
      </c>
      <c r="C73" s="22" t="s">
        <v>110</v>
      </c>
      <c r="D73" s="22" t="s">
        <v>35</v>
      </c>
      <c r="E73" s="22" t="s">
        <v>105</v>
      </c>
      <c r="F73" s="44" t="s">
        <v>798</v>
      </c>
      <c r="G73" s="44" t="s">
        <v>866</v>
      </c>
    </row>
    <row r="74" spans="2:7" ht="14.25">
      <c r="B74" s="22">
        <v>73</v>
      </c>
      <c r="C74" s="22" t="s">
        <v>111</v>
      </c>
      <c r="D74" s="22" t="s">
        <v>112</v>
      </c>
      <c r="E74" s="22" t="s">
        <v>36</v>
      </c>
      <c r="F74" t="s">
        <v>796</v>
      </c>
      <c r="G74" t="s">
        <v>867</v>
      </c>
    </row>
    <row r="75" spans="2:7" ht="14.25">
      <c r="B75" s="22">
        <v>74</v>
      </c>
      <c r="C75" s="22" t="s">
        <v>113</v>
      </c>
      <c r="D75" s="22" t="s">
        <v>112</v>
      </c>
      <c r="E75" s="22" t="s">
        <v>36</v>
      </c>
      <c r="F75" t="s">
        <v>796</v>
      </c>
      <c r="G75" t="s">
        <v>868</v>
      </c>
    </row>
    <row r="76" spans="2:7" ht="14.25">
      <c r="B76" s="22">
        <v>75</v>
      </c>
      <c r="C76" s="22" t="s">
        <v>114</v>
      </c>
      <c r="D76" s="22" t="s">
        <v>112</v>
      </c>
      <c r="E76" s="22" t="s">
        <v>36</v>
      </c>
      <c r="F76" t="s">
        <v>796</v>
      </c>
      <c r="G76" t="s">
        <v>869</v>
      </c>
    </row>
    <row r="77" spans="2:7" ht="14.25">
      <c r="B77" s="22">
        <v>76</v>
      </c>
      <c r="C77" s="22" t="s">
        <v>115</v>
      </c>
      <c r="D77" s="22" t="s">
        <v>112</v>
      </c>
      <c r="E77" s="22" t="s">
        <v>36</v>
      </c>
      <c r="F77" t="s">
        <v>796</v>
      </c>
      <c r="G77" t="s">
        <v>870</v>
      </c>
    </row>
    <row r="78" spans="2:7" ht="14.25">
      <c r="B78" s="22">
        <v>77</v>
      </c>
      <c r="C78" s="22" t="s">
        <v>116</v>
      </c>
      <c r="D78" s="22" t="s">
        <v>112</v>
      </c>
      <c r="E78" s="22" t="s">
        <v>36</v>
      </c>
      <c r="F78" t="s">
        <v>796</v>
      </c>
      <c r="G78" t="s">
        <v>871</v>
      </c>
    </row>
    <row r="79" spans="2:7" ht="14.25">
      <c r="B79" s="22">
        <v>78</v>
      </c>
      <c r="C79" s="22" t="s">
        <v>117</v>
      </c>
      <c r="D79" s="22" t="s">
        <v>112</v>
      </c>
      <c r="E79" s="22" t="s">
        <v>36</v>
      </c>
      <c r="F79" t="s">
        <v>796</v>
      </c>
      <c r="G79" t="s">
        <v>872</v>
      </c>
    </row>
    <row r="80" spans="2:7" ht="14.25">
      <c r="B80" s="22">
        <v>79</v>
      </c>
      <c r="C80" s="22" t="s">
        <v>118</v>
      </c>
      <c r="D80" s="22" t="s">
        <v>112</v>
      </c>
      <c r="E80" s="22" t="s">
        <v>36</v>
      </c>
      <c r="F80" t="s">
        <v>796</v>
      </c>
      <c r="G80" t="s">
        <v>873</v>
      </c>
    </row>
    <row r="81" spans="2:7" ht="14.25">
      <c r="B81" s="22">
        <v>80</v>
      </c>
      <c r="C81" s="22" t="s">
        <v>119</v>
      </c>
      <c r="D81" s="22" t="s">
        <v>112</v>
      </c>
      <c r="E81" s="22" t="s">
        <v>36</v>
      </c>
      <c r="F81" t="s">
        <v>796</v>
      </c>
      <c r="G81" t="s">
        <v>874</v>
      </c>
    </row>
    <row r="82" spans="2:7" ht="14.25">
      <c r="B82" s="22">
        <v>81</v>
      </c>
      <c r="C82" s="22" t="s">
        <v>120</v>
      </c>
      <c r="D82" s="22" t="s">
        <v>112</v>
      </c>
      <c r="E82" s="22" t="s">
        <v>36</v>
      </c>
      <c r="F82" t="s">
        <v>797</v>
      </c>
      <c r="G82" t="s">
        <v>875</v>
      </c>
    </row>
    <row r="83" spans="2:7" ht="14.25">
      <c r="B83" s="22">
        <v>82</v>
      </c>
      <c r="C83" s="22" t="s">
        <v>121</v>
      </c>
      <c r="D83" s="22" t="s">
        <v>112</v>
      </c>
      <c r="E83" s="22" t="s">
        <v>36</v>
      </c>
      <c r="F83" t="s">
        <v>796</v>
      </c>
      <c r="G83" t="s">
        <v>876</v>
      </c>
    </row>
    <row r="84" spans="2:7" ht="14.25">
      <c r="B84" s="22">
        <v>83</v>
      </c>
      <c r="C84" s="22" t="s">
        <v>42</v>
      </c>
      <c r="D84" s="22" t="s">
        <v>112</v>
      </c>
      <c r="E84" s="22" t="s">
        <v>36</v>
      </c>
      <c r="F84" t="s">
        <v>796</v>
      </c>
      <c r="G84" t="s">
        <v>877</v>
      </c>
    </row>
    <row r="85" spans="2:7" ht="14.25">
      <c r="B85" s="22">
        <v>84</v>
      </c>
      <c r="C85" s="22" t="s">
        <v>43</v>
      </c>
      <c r="D85" s="22" t="s">
        <v>112</v>
      </c>
      <c r="E85" s="22" t="s">
        <v>36</v>
      </c>
      <c r="F85" t="s">
        <v>796</v>
      </c>
      <c r="G85" t="s">
        <v>806</v>
      </c>
    </row>
    <row r="86" spans="2:7" ht="14.25">
      <c r="B86" s="22">
        <v>85</v>
      </c>
      <c r="C86" s="22" t="s">
        <v>122</v>
      </c>
      <c r="D86" s="22" t="s">
        <v>112</v>
      </c>
      <c r="E86" s="22" t="s">
        <v>36</v>
      </c>
      <c r="F86" t="s">
        <v>797</v>
      </c>
      <c r="G86" t="s">
        <v>879</v>
      </c>
    </row>
    <row r="87" spans="2:7" ht="14.25">
      <c r="B87" s="22">
        <v>86</v>
      </c>
      <c r="C87" s="22" t="s">
        <v>123</v>
      </c>
      <c r="D87" s="22" t="s">
        <v>112</v>
      </c>
      <c r="E87" s="22" t="s">
        <v>36</v>
      </c>
      <c r="F87" t="s">
        <v>796</v>
      </c>
      <c r="G87" t="s">
        <v>878</v>
      </c>
    </row>
    <row r="88" spans="2:7" ht="14.25">
      <c r="B88" s="22">
        <v>87</v>
      </c>
      <c r="C88" s="22" t="s">
        <v>124</v>
      </c>
      <c r="D88" s="22" t="s">
        <v>112</v>
      </c>
      <c r="E88" s="22" t="s">
        <v>36</v>
      </c>
      <c r="F88" t="s">
        <v>796</v>
      </c>
      <c r="G88" t="s">
        <v>880</v>
      </c>
    </row>
    <row r="89" spans="2:7" ht="14.25">
      <c r="B89" s="22">
        <v>88</v>
      </c>
      <c r="C89" s="22" t="s">
        <v>125</v>
      </c>
      <c r="D89" s="22" t="s">
        <v>112</v>
      </c>
      <c r="E89" s="22" t="s">
        <v>36</v>
      </c>
      <c r="F89" t="s">
        <v>796</v>
      </c>
      <c r="G89" t="s">
        <v>881</v>
      </c>
    </row>
    <row r="90" spans="2:7" ht="14.25">
      <c r="B90" s="22">
        <v>89</v>
      </c>
      <c r="C90" s="22" t="s">
        <v>126</v>
      </c>
      <c r="D90" s="22" t="s">
        <v>112</v>
      </c>
      <c r="E90" s="22" t="s">
        <v>36</v>
      </c>
      <c r="F90" t="s">
        <v>797</v>
      </c>
      <c r="G90" t="s">
        <v>897</v>
      </c>
    </row>
    <row r="91" spans="2:7" ht="14.25">
      <c r="B91" s="22">
        <v>90</v>
      </c>
      <c r="C91" s="22" t="s">
        <v>127</v>
      </c>
      <c r="D91" s="22" t="s">
        <v>112</v>
      </c>
      <c r="E91" s="22" t="s">
        <v>36</v>
      </c>
      <c r="F91" t="s">
        <v>797</v>
      </c>
      <c r="G91" t="s">
        <v>898</v>
      </c>
    </row>
    <row r="92" spans="2:7" ht="14.25">
      <c r="B92" s="22">
        <v>91</v>
      </c>
      <c r="C92" s="22" t="s">
        <v>128</v>
      </c>
      <c r="D92" s="22" t="s">
        <v>112</v>
      </c>
      <c r="E92" s="22" t="s">
        <v>60</v>
      </c>
      <c r="F92" t="s">
        <v>797</v>
      </c>
      <c r="G92" t="s">
        <v>883</v>
      </c>
    </row>
    <row r="93" spans="2:7" ht="14.25">
      <c r="B93" s="22">
        <v>92</v>
      </c>
      <c r="C93" s="22" t="s">
        <v>129</v>
      </c>
      <c r="D93" s="22" t="s">
        <v>112</v>
      </c>
      <c r="E93" s="22" t="s">
        <v>60</v>
      </c>
      <c r="F93" t="s">
        <v>796</v>
      </c>
      <c r="G93" t="s">
        <v>884</v>
      </c>
    </row>
    <row r="94" spans="2:7" ht="14.25">
      <c r="B94" s="22">
        <v>93</v>
      </c>
      <c r="C94" s="22" t="s">
        <v>130</v>
      </c>
      <c r="D94" s="22" t="s">
        <v>112</v>
      </c>
      <c r="E94" s="22" t="s">
        <v>60</v>
      </c>
      <c r="F94" t="s">
        <v>796</v>
      </c>
      <c r="G94" t="s">
        <v>885</v>
      </c>
    </row>
    <row r="95" spans="2:7" ht="14.25">
      <c r="B95" s="22">
        <v>94</v>
      </c>
      <c r="C95" s="22" t="s">
        <v>131</v>
      </c>
      <c r="D95" s="22" t="s">
        <v>112</v>
      </c>
      <c r="E95" s="22" t="s">
        <v>60</v>
      </c>
      <c r="F95" t="s">
        <v>798</v>
      </c>
    </row>
    <row r="96" spans="2:7" ht="14.25">
      <c r="B96" s="22">
        <v>95</v>
      </c>
      <c r="C96" s="22" t="s">
        <v>132</v>
      </c>
      <c r="D96" s="22" t="s">
        <v>112</v>
      </c>
      <c r="E96" s="22" t="s">
        <v>60</v>
      </c>
      <c r="F96" t="s">
        <v>796</v>
      </c>
      <c r="G96" t="s">
        <v>886</v>
      </c>
    </row>
    <row r="97" spans="2:7" ht="14.25">
      <c r="B97" s="22">
        <v>96</v>
      </c>
      <c r="C97" s="22" t="s">
        <v>133</v>
      </c>
      <c r="D97" s="22" t="s">
        <v>112</v>
      </c>
      <c r="E97" s="22" t="s">
        <v>60</v>
      </c>
      <c r="F97" t="s">
        <v>796</v>
      </c>
      <c r="G97" t="s">
        <v>133</v>
      </c>
    </row>
    <row r="98" spans="2:7" ht="14.25">
      <c r="B98" s="22">
        <v>97</v>
      </c>
      <c r="C98" s="22" t="s">
        <v>134</v>
      </c>
      <c r="D98" s="22" t="s">
        <v>112</v>
      </c>
      <c r="E98" s="22" t="s">
        <v>60</v>
      </c>
      <c r="F98" t="s">
        <v>796</v>
      </c>
      <c r="G98" t="s">
        <v>887</v>
      </c>
    </row>
    <row r="99" spans="2:7" ht="14.25">
      <c r="B99" s="22">
        <v>98</v>
      </c>
      <c r="C99" s="22" t="s">
        <v>135</v>
      </c>
      <c r="D99" s="22" t="s">
        <v>112</v>
      </c>
      <c r="E99" s="22" t="s">
        <v>60</v>
      </c>
      <c r="F99" t="s">
        <v>797</v>
      </c>
      <c r="G99" t="s">
        <v>890</v>
      </c>
    </row>
    <row r="100" spans="2:7" ht="14.25">
      <c r="B100" s="22">
        <v>99</v>
      </c>
      <c r="C100" s="22" t="s">
        <v>136</v>
      </c>
      <c r="D100" s="22" t="s">
        <v>112</v>
      </c>
      <c r="E100" s="22" t="s">
        <v>60</v>
      </c>
      <c r="F100" t="s">
        <v>796</v>
      </c>
      <c r="G100" t="s">
        <v>888</v>
      </c>
    </row>
    <row r="101" spans="2:7" ht="14.25">
      <c r="B101" s="22">
        <v>100</v>
      </c>
      <c r="C101" s="22" t="s">
        <v>137</v>
      </c>
      <c r="D101" s="22" t="s">
        <v>112</v>
      </c>
      <c r="E101" s="22" t="s">
        <v>60</v>
      </c>
      <c r="F101" t="s">
        <v>796</v>
      </c>
      <c r="G101" t="s">
        <v>889</v>
      </c>
    </row>
    <row r="102" spans="2:7" ht="14.25">
      <c r="B102" s="22">
        <v>101</v>
      </c>
      <c r="C102" s="22" t="s">
        <v>138</v>
      </c>
      <c r="D102" s="22" t="s">
        <v>112</v>
      </c>
      <c r="E102" s="22" t="s">
        <v>60</v>
      </c>
      <c r="F102" t="s">
        <v>796</v>
      </c>
      <c r="G102" t="s">
        <v>891</v>
      </c>
    </row>
    <row r="103" spans="2:7" ht="14.25">
      <c r="B103" s="22">
        <v>102</v>
      </c>
      <c r="C103" s="22" t="s">
        <v>139</v>
      </c>
      <c r="D103" s="22" t="s">
        <v>112</v>
      </c>
      <c r="E103" s="22" t="s">
        <v>60</v>
      </c>
      <c r="F103" t="s">
        <v>798</v>
      </c>
      <c r="G103" t="s">
        <v>892</v>
      </c>
    </row>
    <row r="104" spans="2:7" ht="14.25">
      <c r="B104" s="22">
        <v>103</v>
      </c>
      <c r="C104" s="22" t="s">
        <v>140</v>
      </c>
      <c r="D104" s="22" t="s">
        <v>112</v>
      </c>
      <c r="E104" s="22" t="s">
        <v>60</v>
      </c>
      <c r="F104" t="s">
        <v>796</v>
      </c>
      <c r="G104" t="s">
        <v>893</v>
      </c>
    </row>
    <row r="105" spans="2:7" ht="14.25">
      <c r="B105" s="22">
        <v>104</v>
      </c>
      <c r="C105" s="22" t="s">
        <v>141</v>
      </c>
      <c r="D105" s="22" t="s">
        <v>112</v>
      </c>
      <c r="E105" s="22" t="s">
        <v>60</v>
      </c>
      <c r="F105" t="s">
        <v>796</v>
      </c>
      <c r="G105" t="s">
        <v>894</v>
      </c>
    </row>
    <row r="106" spans="2:7" ht="14.25">
      <c r="B106" s="22">
        <v>105</v>
      </c>
      <c r="C106" s="22" t="s">
        <v>142</v>
      </c>
      <c r="D106" s="22" t="s">
        <v>112</v>
      </c>
      <c r="E106" s="22" t="s">
        <v>60</v>
      </c>
      <c r="F106" t="s">
        <v>798</v>
      </c>
      <c r="G106" t="s">
        <v>895</v>
      </c>
    </row>
    <row r="107" spans="2:7" ht="14.25">
      <c r="B107" s="22">
        <v>106</v>
      </c>
      <c r="C107" s="22" t="s">
        <v>143</v>
      </c>
      <c r="D107" s="22" t="s">
        <v>112</v>
      </c>
      <c r="E107" s="22" t="s">
        <v>60</v>
      </c>
      <c r="F107" t="s">
        <v>798</v>
      </c>
      <c r="G107" t="s">
        <v>896</v>
      </c>
    </row>
    <row r="108" spans="2:7" ht="14.25">
      <c r="B108" s="22">
        <v>107</v>
      </c>
      <c r="C108" s="22" t="s">
        <v>126</v>
      </c>
      <c r="D108" s="22" t="s">
        <v>112</v>
      </c>
      <c r="E108" s="22" t="s">
        <v>60</v>
      </c>
      <c r="F108" t="s">
        <v>796</v>
      </c>
      <c r="G108" t="s">
        <v>897</v>
      </c>
    </row>
    <row r="109" spans="2:7" ht="14.25">
      <c r="B109" s="22">
        <v>108</v>
      </c>
      <c r="C109" s="22" t="s">
        <v>127</v>
      </c>
      <c r="D109" s="22" t="s">
        <v>112</v>
      </c>
      <c r="E109" s="22" t="s">
        <v>60</v>
      </c>
      <c r="F109" t="s">
        <v>798</v>
      </c>
      <c r="G109" t="s">
        <v>882</v>
      </c>
    </row>
    <row r="110" spans="2:7" ht="14.25">
      <c r="B110" s="22">
        <v>109</v>
      </c>
      <c r="C110" s="22" t="s">
        <v>144</v>
      </c>
      <c r="D110" s="22" t="s">
        <v>112</v>
      </c>
      <c r="E110" s="22" t="s">
        <v>60</v>
      </c>
      <c r="F110" t="s">
        <v>798</v>
      </c>
    </row>
    <row r="111" spans="2:7" ht="14.25">
      <c r="B111" s="22">
        <v>110</v>
      </c>
      <c r="C111" s="22" t="s">
        <v>145</v>
      </c>
      <c r="D111" s="22" t="s">
        <v>112</v>
      </c>
      <c r="E111" s="22" t="s">
        <v>60</v>
      </c>
      <c r="F111" t="s">
        <v>798</v>
      </c>
      <c r="G111" t="s">
        <v>899</v>
      </c>
    </row>
    <row r="112" spans="2:7" ht="14.25">
      <c r="B112" s="22">
        <v>111</v>
      </c>
      <c r="C112" s="22" t="s">
        <v>146</v>
      </c>
      <c r="D112" s="22" t="s">
        <v>112</v>
      </c>
      <c r="E112" s="22" t="s">
        <v>60</v>
      </c>
      <c r="F112" t="s">
        <v>796</v>
      </c>
      <c r="G112" t="s">
        <v>900</v>
      </c>
    </row>
    <row r="113" spans="2:7" ht="14.25">
      <c r="B113" s="22">
        <v>112</v>
      </c>
      <c r="C113" s="22" t="s">
        <v>147</v>
      </c>
      <c r="D113" s="22" t="s">
        <v>112</v>
      </c>
      <c r="E113" s="22" t="s">
        <v>60</v>
      </c>
      <c r="F113" t="s">
        <v>796</v>
      </c>
      <c r="G113" t="s">
        <v>901</v>
      </c>
    </row>
    <row r="114" spans="2:7" ht="14.25">
      <c r="B114" s="22">
        <v>113</v>
      </c>
      <c r="C114" s="22" t="s">
        <v>148</v>
      </c>
      <c r="D114" s="22" t="s">
        <v>112</v>
      </c>
      <c r="E114" s="22" t="s">
        <v>60</v>
      </c>
      <c r="F114" t="s">
        <v>797</v>
      </c>
      <c r="G114" t="s">
        <v>902</v>
      </c>
    </row>
    <row r="115" spans="2:7" ht="14.25">
      <c r="B115" s="22">
        <v>114</v>
      </c>
      <c r="C115" s="22" t="s">
        <v>149</v>
      </c>
      <c r="D115" s="22" t="s">
        <v>112</v>
      </c>
      <c r="E115" s="22" t="s">
        <v>60</v>
      </c>
      <c r="F115" t="s">
        <v>797</v>
      </c>
      <c r="G115" t="s">
        <v>903</v>
      </c>
    </row>
    <row r="116" spans="2:7" ht="14.25">
      <c r="B116" s="22">
        <v>115</v>
      </c>
      <c r="C116" s="22" t="s">
        <v>150</v>
      </c>
      <c r="D116" s="22" t="s">
        <v>112</v>
      </c>
      <c r="E116" s="22" t="s">
        <v>60</v>
      </c>
      <c r="F116" t="s">
        <v>796</v>
      </c>
      <c r="G116" t="s">
        <v>904</v>
      </c>
    </row>
    <row r="117" spans="2:7" ht="14.25">
      <c r="B117" s="22">
        <v>116</v>
      </c>
      <c r="C117" s="22" t="s">
        <v>151</v>
      </c>
      <c r="D117" s="22" t="s">
        <v>112</v>
      </c>
      <c r="E117" s="22" t="s">
        <v>60</v>
      </c>
      <c r="F117" t="s">
        <v>796</v>
      </c>
      <c r="G117" t="s">
        <v>905</v>
      </c>
    </row>
    <row r="118" spans="2:7" ht="14.25">
      <c r="B118" s="22">
        <v>117</v>
      </c>
      <c r="C118" s="22" t="s">
        <v>152</v>
      </c>
      <c r="D118" s="22" t="s">
        <v>112</v>
      </c>
      <c r="E118" s="22" t="s">
        <v>84</v>
      </c>
      <c r="F118" s="44" t="s">
        <v>798</v>
      </c>
      <c r="G118" s="44" t="s">
        <v>906</v>
      </c>
    </row>
    <row r="119" spans="2:7" ht="14.25">
      <c r="B119" s="22">
        <v>118</v>
      </c>
      <c r="C119" s="22" t="s">
        <v>153</v>
      </c>
      <c r="D119" s="22" t="s">
        <v>112</v>
      </c>
      <c r="E119" s="22" t="s">
        <v>84</v>
      </c>
      <c r="F119" t="s">
        <v>797</v>
      </c>
      <c r="G119" s="44" t="s">
        <v>907</v>
      </c>
    </row>
    <row r="120" spans="2:7" ht="14.25">
      <c r="B120" s="22">
        <v>119</v>
      </c>
      <c r="C120" s="22" t="s">
        <v>154</v>
      </c>
      <c r="D120" s="22" t="s">
        <v>112</v>
      </c>
      <c r="E120" s="22" t="s">
        <v>84</v>
      </c>
      <c r="F120" s="44" t="s">
        <v>798</v>
      </c>
      <c r="G120" s="44" t="s">
        <v>908</v>
      </c>
    </row>
    <row r="121" spans="2:7" ht="14.25">
      <c r="B121" s="22">
        <v>120</v>
      </c>
      <c r="C121" s="22" t="s">
        <v>155</v>
      </c>
      <c r="D121" s="22" t="s">
        <v>112</v>
      </c>
      <c r="E121" s="22" t="s">
        <v>84</v>
      </c>
      <c r="F121" s="44" t="s">
        <v>797</v>
      </c>
      <c r="G121" s="44" t="s">
        <v>909</v>
      </c>
    </row>
    <row r="122" spans="2:7" ht="14.25">
      <c r="B122" s="22">
        <v>121</v>
      </c>
      <c r="C122" s="22" t="s">
        <v>156</v>
      </c>
      <c r="D122" s="22" t="s">
        <v>112</v>
      </c>
      <c r="E122" s="22" t="s">
        <v>84</v>
      </c>
      <c r="F122" s="44" t="s">
        <v>797</v>
      </c>
      <c r="G122" s="44" t="s">
        <v>910</v>
      </c>
    </row>
    <row r="123" spans="2:7" ht="14.25">
      <c r="B123" s="22">
        <v>122</v>
      </c>
      <c r="C123" s="22" t="s">
        <v>157</v>
      </c>
      <c r="D123" s="22" t="s">
        <v>112</v>
      </c>
      <c r="E123" s="22" t="s">
        <v>84</v>
      </c>
      <c r="F123" s="44" t="s">
        <v>798</v>
      </c>
      <c r="G123" s="44" t="s">
        <v>911</v>
      </c>
    </row>
    <row r="124" spans="2:7" ht="14.25">
      <c r="B124" s="22">
        <v>123</v>
      </c>
      <c r="C124" s="22" t="s">
        <v>158</v>
      </c>
      <c r="D124" s="22" t="s">
        <v>112</v>
      </c>
      <c r="E124" s="22" t="s">
        <v>84</v>
      </c>
      <c r="F124" s="44" t="s">
        <v>797</v>
      </c>
      <c r="G124" s="44" t="s">
        <v>912</v>
      </c>
    </row>
    <row r="125" spans="2:7" ht="14.25">
      <c r="B125" s="22">
        <v>124</v>
      </c>
      <c r="C125" s="22" t="s">
        <v>159</v>
      </c>
      <c r="D125" s="22" t="s">
        <v>112</v>
      </c>
      <c r="E125" s="22" t="s">
        <v>84</v>
      </c>
      <c r="F125" s="44" t="s">
        <v>797</v>
      </c>
      <c r="G125" s="44" t="s">
        <v>913</v>
      </c>
    </row>
    <row r="126" spans="2:7" ht="14.25">
      <c r="B126" s="22">
        <v>125</v>
      </c>
      <c r="C126" s="22" t="s">
        <v>160</v>
      </c>
      <c r="D126" s="22" t="s">
        <v>112</v>
      </c>
      <c r="E126" s="22" t="s">
        <v>84</v>
      </c>
      <c r="F126" s="44" t="s">
        <v>796</v>
      </c>
      <c r="G126" s="44" t="s">
        <v>914</v>
      </c>
    </row>
    <row r="127" spans="2:7" ht="14.25">
      <c r="B127" s="22">
        <v>126</v>
      </c>
      <c r="C127" s="22" t="s">
        <v>161</v>
      </c>
      <c r="D127" s="22" t="s">
        <v>112</v>
      </c>
      <c r="E127" s="22" t="s">
        <v>84</v>
      </c>
      <c r="F127" s="44" t="s">
        <v>797</v>
      </c>
      <c r="G127" s="44" t="s">
        <v>916</v>
      </c>
    </row>
    <row r="128" spans="2:7" ht="14.25">
      <c r="B128" s="22">
        <v>127</v>
      </c>
      <c r="C128" s="22" t="s">
        <v>162</v>
      </c>
      <c r="D128" s="22" t="s">
        <v>112</v>
      </c>
      <c r="E128" s="22" t="s">
        <v>84</v>
      </c>
      <c r="F128" s="44" t="s">
        <v>797</v>
      </c>
      <c r="G128" s="44" t="s">
        <v>915</v>
      </c>
    </row>
    <row r="129" spans="2:7" ht="14.25">
      <c r="B129" s="22">
        <v>128</v>
      </c>
      <c r="C129" s="22" t="s">
        <v>163</v>
      </c>
      <c r="D129" s="22" t="s">
        <v>112</v>
      </c>
      <c r="E129" s="22" t="s">
        <v>84</v>
      </c>
      <c r="F129" s="44" t="s">
        <v>796</v>
      </c>
      <c r="G129" s="44" t="s">
        <v>917</v>
      </c>
    </row>
    <row r="130" spans="2:7" ht="14.25">
      <c r="B130" s="22">
        <v>129</v>
      </c>
      <c r="C130" s="22" t="s">
        <v>164</v>
      </c>
      <c r="D130" s="22" t="s">
        <v>112</v>
      </c>
      <c r="E130" s="22" t="s">
        <v>84</v>
      </c>
      <c r="F130" s="44" t="s">
        <v>796</v>
      </c>
      <c r="G130" s="44" t="s">
        <v>918</v>
      </c>
    </row>
    <row r="131" spans="2:7" ht="14.25">
      <c r="B131" s="22">
        <v>130</v>
      </c>
      <c r="C131" s="22" t="s">
        <v>165</v>
      </c>
      <c r="D131" s="22" t="s">
        <v>112</v>
      </c>
      <c r="E131" s="22" t="s">
        <v>84</v>
      </c>
      <c r="F131" s="44" t="s">
        <v>796</v>
      </c>
      <c r="G131" s="44" t="s">
        <v>919</v>
      </c>
    </row>
    <row r="132" spans="2:7" ht="14.25">
      <c r="B132" s="22">
        <v>131</v>
      </c>
      <c r="C132" s="22" t="s">
        <v>166</v>
      </c>
      <c r="D132" s="22" t="s">
        <v>112</v>
      </c>
      <c r="E132" s="22" t="s">
        <v>84</v>
      </c>
      <c r="F132" s="44" t="s">
        <v>797</v>
      </c>
      <c r="G132" s="44" t="s">
        <v>920</v>
      </c>
    </row>
    <row r="133" spans="2:7" ht="14.25">
      <c r="B133" s="22">
        <v>132</v>
      </c>
      <c r="C133" s="22" t="s">
        <v>167</v>
      </c>
      <c r="D133" s="22" t="s">
        <v>112</v>
      </c>
      <c r="E133" s="22" t="s">
        <v>84</v>
      </c>
      <c r="F133" s="44" t="s">
        <v>796</v>
      </c>
      <c r="G133" s="44" t="s">
        <v>921</v>
      </c>
    </row>
    <row r="134" spans="2:7" ht="14.25">
      <c r="B134" s="22">
        <v>133</v>
      </c>
      <c r="C134" s="22" t="s">
        <v>168</v>
      </c>
      <c r="D134" s="22" t="s">
        <v>112</v>
      </c>
      <c r="E134" s="22" t="s">
        <v>84</v>
      </c>
      <c r="F134" s="44" t="s">
        <v>796</v>
      </c>
      <c r="G134" s="44" t="s">
        <v>922</v>
      </c>
    </row>
    <row r="135" spans="2:7" ht="14.25">
      <c r="B135" s="22">
        <v>134</v>
      </c>
      <c r="C135" s="22" t="s">
        <v>169</v>
      </c>
      <c r="D135" s="22" t="s">
        <v>112</v>
      </c>
      <c r="E135" s="22" t="s">
        <v>105</v>
      </c>
      <c r="F135" s="44" t="s">
        <v>798</v>
      </c>
      <c r="G135" s="44" t="s">
        <v>923</v>
      </c>
    </row>
    <row r="136" spans="2:7" ht="14.25">
      <c r="B136" s="22">
        <v>135</v>
      </c>
      <c r="C136" s="22" t="s">
        <v>170</v>
      </c>
      <c r="D136" s="22" t="s">
        <v>112</v>
      </c>
      <c r="E136" s="22" t="s">
        <v>105</v>
      </c>
      <c r="F136" s="44" t="s">
        <v>797</v>
      </c>
      <c r="G136" s="44" t="s">
        <v>924</v>
      </c>
    </row>
    <row r="137" spans="2:7" ht="14.25">
      <c r="B137" s="22">
        <v>136</v>
      </c>
      <c r="C137" s="22" t="s">
        <v>171</v>
      </c>
      <c r="D137" s="22" t="s">
        <v>112</v>
      </c>
      <c r="E137" s="22" t="s">
        <v>105</v>
      </c>
      <c r="F137" s="44" t="s">
        <v>798</v>
      </c>
      <c r="G137" s="44" t="s">
        <v>925</v>
      </c>
    </row>
    <row r="138" spans="2:7" ht="14.25">
      <c r="B138" s="22">
        <v>137</v>
      </c>
      <c r="C138" s="22" t="s">
        <v>172</v>
      </c>
      <c r="D138" s="22" t="s">
        <v>112</v>
      </c>
      <c r="E138" s="22" t="s">
        <v>105</v>
      </c>
      <c r="F138" s="44" t="s">
        <v>796</v>
      </c>
      <c r="G138" s="44" t="s">
        <v>926</v>
      </c>
    </row>
    <row r="139" spans="2:7" ht="14.25">
      <c r="B139" s="22">
        <v>138</v>
      </c>
      <c r="C139" s="22" t="s">
        <v>173</v>
      </c>
      <c r="D139" s="22" t="s">
        <v>112</v>
      </c>
      <c r="E139" s="22" t="s">
        <v>105</v>
      </c>
      <c r="F139" s="44" t="s">
        <v>797</v>
      </c>
      <c r="G139" s="44" t="s">
        <v>927</v>
      </c>
    </row>
    <row r="140" spans="2:7" ht="14.25">
      <c r="B140" s="22">
        <v>139</v>
      </c>
      <c r="C140" s="22" t="s">
        <v>174</v>
      </c>
      <c r="D140" s="22" t="s">
        <v>175</v>
      </c>
      <c r="E140" s="22" t="s">
        <v>36</v>
      </c>
      <c r="F140" s="44" t="s">
        <v>798</v>
      </c>
      <c r="G140" s="44" t="s">
        <v>929</v>
      </c>
    </row>
    <row r="141" spans="2:7" ht="14.25">
      <c r="B141" s="22">
        <v>140</v>
      </c>
      <c r="C141" s="22" t="s">
        <v>176</v>
      </c>
      <c r="D141" s="22" t="s">
        <v>175</v>
      </c>
      <c r="E141" s="22" t="s">
        <v>36</v>
      </c>
      <c r="F141" t="s">
        <v>796</v>
      </c>
      <c r="G141" s="44" t="s">
        <v>928</v>
      </c>
    </row>
    <row r="142" spans="2:7" ht="14.25">
      <c r="B142" s="22">
        <v>141</v>
      </c>
      <c r="C142" s="22" t="s">
        <v>177</v>
      </c>
      <c r="D142" s="22" t="s">
        <v>175</v>
      </c>
      <c r="E142" s="22" t="s">
        <v>36</v>
      </c>
      <c r="F142" s="44" t="s">
        <v>797</v>
      </c>
      <c r="G142" s="44" t="s">
        <v>930</v>
      </c>
    </row>
    <row r="143" spans="2:7" ht="14.25">
      <c r="B143" s="22">
        <v>142</v>
      </c>
      <c r="C143" s="22" t="s">
        <v>178</v>
      </c>
      <c r="D143" s="22" t="s">
        <v>175</v>
      </c>
      <c r="E143" s="22" t="s">
        <v>36</v>
      </c>
      <c r="F143" t="s">
        <v>796</v>
      </c>
      <c r="G143" s="44" t="s">
        <v>931</v>
      </c>
    </row>
    <row r="144" spans="2:7" ht="14.25">
      <c r="B144" s="22">
        <v>143</v>
      </c>
      <c r="C144" s="22" t="s">
        <v>179</v>
      </c>
      <c r="D144" s="22" t="s">
        <v>175</v>
      </c>
      <c r="E144" s="22" t="s">
        <v>36</v>
      </c>
      <c r="F144" t="s">
        <v>796</v>
      </c>
      <c r="G144" s="44" t="s">
        <v>932</v>
      </c>
    </row>
    <row r="145" spans="2:7" ht="14.25">
      <c r="B145" s="22">
        <v>144</v>
      </c>
      <c r="C145" s="22" t="s">
        <v>167</v>
      </c>
      <c r="D145" s="22" t="s">
        <v>175</v>
      </c>
      <c r="E145" s="22" t="s">
        <v>36</v>
      </c>
      <c r="F145" t="s">
        <v>796</v>
      </c>
      <c r="G145" s="44" t="s">
        <v>921</v>
      </c>
    </row>
    <row r="146" spans="2:7" ht="14.25">
      <c r="B146" s="22">
        <v>145</v>
      </c>
      <c r="C146" s="22" t="s">
        <v>180</v>
      </c>
      <c r="D146" s="22" t="s">
        <v>175</v>
      </c>
      <c r="E146" s="22" t="s">
        <v>36</v>
      </c>
      <c r="F146" t="s">
        <v>796</v>
      </c>
      <c r="G146" s="44" t="s">
        <v>904</v>
      </c>
    </row>
    <row r="147" spans="2:7" ht="14.25">
      <c r="B147" s="22">
        <v>146</v>
      </c>
      <c r="C147" s="22" t="s">
        <v>181</v>
      </c>
      <c r="D147" s="22" t="s">
        <v>175</v>
      </c>
      <c r="E147" s="22" t="s">
        <v>36</v>
      </c>
      <c r="F147" t="s">
        <v>796</v>
      </c>
      <c r="G147" s="44" t="s">
        <v>905</v>
      </c>
    </row>
    <row r="148" spans="2:7" ht="14.25">
      <c r="B148" s="22">
        <v>147</v>
      </c>
      <c r="C148" s="22" t="s">
        <v>182</v>
      </c>
      <c r="D148" s="22" t="s">
        <v>175</v>
      </c>
      <c r="E148" s="22" t="s">
        <v>36</v>
      </c>
      <c r="F148" t="s">
        <v>797</v>
      </c>
      <c r="G148" s="44" t="s">
        <v>933</v>
      </c>
    </row>
    <row r="149" spans="2:7" ht="14.25">
      <c r="B149" s="22">
        <v>148</v>
      </c>
      <c r="C149" s="22" t="s">
        <v>183</v>
      </c>
      <c r="D149" s="22" t="s">
        <v>175</v>
      </c>
      <c r="E149" s="22" t="s">
        <v>36</v>
      </c>
      <c r="F149" t="s">
        <v>797</v>
      </c>
      <c r="G149" s="44" t="s">
        <v>934</v>
      </c>
    </row>
    <row r="150" spans="2:7" ht="14.25">
      <c r="B150" s="22">
        <v>149</v>
      </c>
      <c r="C150" s="22" t="s">
        <v>184</v>
      </c>
      <c r="D150" s="22" t="s">
        <v>175</v>
      </c>
      <c r="E150" s="22" t="s">
        <v>36</v>
      </c>
      <c r="F150" t="s">
        <v>796</v>
      </c>
      <c r="G150" s="44" t="s">
        <v>935</v>
      </c>
    </row>
    <row r="151" spans="2:7" ht="14.25">
      <c r="B151" s="22">
        <v>150</v>
      </c>
      <c r="C151" s="22" t="s">
        <v>185</v>
      </c>
      <c r="D151" s="22" t="s">
        <v>175</v>
      </c>
      <c r="E151" s="22" t="s">
        <v>36</v>
      </c>
      <c r="F151" s="44" t="s">
        <v>797</v>
      </c>
      <c r="G151" s="44" t="s">
        <v>936</v>
      </c>
    </row>
    <row r="152" spans="2:7" ht="14.25">
      <c r="B152" s="22">
        <v>151</v>
      </c>
      <c r="C152" s="22" t="s">
        <v>186</v>
      </c>
      <c r="D152" s="22" t="s">
        <v>175</v>
      </c>
      <c r="E152" s="22" t="s">
        <v>36</v>
      </c>
      <c r="F152" t="s">
        <v>796</v>
      </c>
      <c r="G152" s="44" t="s">
        <v>937</v>
      </c>
    </row>
    <row r="153" spans="2:7" ht="14.25">
      <c r="B153" s="22">
        <v>152</v>
      </c>
      <c r="C153" s="22" t="s">
        <v>187</v>
      </c>
      <c r="D153" s="22" t="s">
        <v>175</v>
      </c>
      <c r="E153" s="22" t="s">
        <v>36</v>
      </c>
      <c r="F153" t="s">
        <v>797</v>
      </c>
      <c r="G153" s="44" t="s">
        <v>938</v>
      </c>
    </row>
    <row r="154" spans="2:7" ht="14.25">
      <c r="B154" s="22">
        <v>153</v>
      </c>
      <c r="C154" s="22" t="s">
        <v>188</v>
      </c>
      <c r="D154" s="22" t="s">
        <v>175</v>
      </c>
      <c r="E154" s="22" t="s">
        <v>36</v>
      </c>
      <c r="F154" t="s">
        <v>796</v>
      </c>
      <c r="G154" s="44" t="s">
        <v>939</v>
      </c>
    </row>
    <row r="155" spans="2:7" ht="14.25">
      <c r="B155" s="22">
        <v>154</v>
      </c>
      <c r="C155" s="22" t="s">
        <v>189</v>
      </c>
      <c r="D155" s="22" t="s">
        <v>175</v>
      </c>
      <c r="E155" s="22" t="s">
        <v>36</v>
      </c>
      <c r="F155" t="s">
        <v>796</v>
      </c>
      <c r="G155" s="44" t="s">
        <v>940</v>
      </c>
    </row>
    <row r="156" spans="2:7" ht="14.25">
      <c r="B156" s="22">
        <v>155</v>
      </c>
      <c r="C156" s="22" t="s">
        <v>190</v>
      </c>
      <c r="D156" s="22" t="s">
        <v>175</v>
      </c>
      <c r="E156" s="22" t="s">
        <v>36</v>
      </c>
      <c r="F156" t="s">
        <v>796</v>
      </c>
      <c r="G156" s="44" t="s">
        <v>941</v>
      </c>
    </row>
    <row r="157" spans="2:7" ht="14.25">
      <c r="B157" s="22">
        <v>156</v>
      </c>
      <c r="C157" s="22" t="s">
        <v>191</v>
      </c>
      <c r="D157" s="22" t="s">
        <v>175</v>
      </c>
      <c r="E157" s="22" t="s">
        <v>36</v>
      </c>
      <c r="F157" t="s">
        <v>797</v>
      </c>
      <c r="G157" s="44" t="s">
        <v>942</v>
      </c>
    </row>
    <row r="158" spans="2:7" ht="14.25">
      <c r="B158" s="22">
        <v>157</v>
      </c>
      <c r="C158" s="22" t="s">
        <v>192</v>
      </c>
      <c r="D158" s="22" t="s">
        <v>175</v>
      </c>
      <c r="E158" s="22" t="s">
        <v>36</v>
      </c>
      <c r="F158" t="s">
        <v>796</v>
      </c>
      <c r="G158" s="44" t="s">
        <v>943</v>
      </c>
    </row>
    <row r="159" spans="2:7" ht="14.25">
      <c r="B159" s="22">
        <v>158</v>
      </c>
      <c r="C159" s="22" t="s">
        <v>193</v>
      </c>
      <c r="D159" s="22" t="s">
        <v>175</v>
      </c>
      <c r="E159" s="22" t="s">
        <v>60</v>
      </c>
      <c r="F159" t="s">
        <v>796</v>
      </c>
      <c r="G159" s="44" t="s">
        <v>944</v>
      </c>
    </row>
    <row r="160" spans="2:7" ht="14.25">
      <c r="B160" s="22">
        <v>159</v>
      </c>
      <c r="C160" s="22" t="s">
        <v>194</v>
      </c>
      <c r="D160" s="22" t="s">
        <v>175</v>
      </c>
      <c r="E160" s="22" t="s">
        <v>60</v>
      </c>
      <c r="F160" t="s">
        <v>796</v>
      </c>
      <c r="G160" s="44" t="s">
        <v>945</v>
      </c>
    </row>
    <row r="161" spans="2:7" ht="14.25">
      <c r="B161" s="22">
        <v>160</v>
      </c>
      <c r="C161" s="22" t="s">
        <v>195</v>
      </c>
      <c r="D161" s="22" t="s">
        <v>175</v>
      </c>
      <c r="E161" s="22" t="s">
        <v>60</v>
      </c>
      <c r="F161" t="s">
        <v>796</v>
      </c>
      <c r="G161" s="44" t="s">
        <v>946</v>
      </c>
    </row>
    <row r="162" spans="2:7" ht="14.25">
      <c r="B162" s="22">
        <v>161</v>
      </c>
      <c r="C162" s="22" t="s">
        <v>196</v>
      </c>
      <c r="D162" s="22" t="s">
        <v>175</v>
      </c>
      <c r="E162" s="22" t="s">
        <v>60</v>
      </c>
      <c r="F162" t="s">
        <v>796</v>
      </c>
      <c r="G162" s="44" t="s">
        <v>947</v>
      </c>
    </row>
    <row r="163" spans="2:7" ht="14.25">
      <c r="B163" s="22">
        <v>162</v>
      </c>
      <c r="C163" s="22" t="s">
        <v>197</v>
      </c>
      <c r="D163" s="22" t="s">
        <v>175</v>
      </c>
      <c r="E163" s="22" t="s">
        <v>60</v>
      </c>
      <c r="F163" t="s">
        <v>796</v>
      </c>
      <c r="G163" s="44" t="s">
        <v>948</v>
      </c>
    </row>
    <row r="164" spans="2:7" ht="14.25">
      <c r="B164" s="22">
        <v>163</v>
      </c>
      <c r="C164" s="22" t="s">
        <v>198</v>
      </c>
      <c r="D164" s="22" t="s">
        <v>175</v>
      </c>
      <c r="E164" s="22" t="s">
        <v>60</v>
      </c>
      <c r="F164" t="s">
        <v>796</v>
      </c>
      <c r="G164" s="44" t="s">
        <v>949</v>
      </c>
    </row>
    <row r="165" spans="2:7" ht="14.25">
      <c r="B165" s="22">
        <v>164</v>
      </c>
      <c r="C165" s="22" t="s">
        <v>199</v>
      </c>
      <c r="D165" s="22" t="s">
        <v>175</v>
      </c>
      <c r="E165" s="22" t="s">
        <v>60</v>
      </c>
      <c r="F165" t="s">
        <v>796</v>
      </c>
      <c r="G165" s="44" t="s">
        <v>950</v>
      </c>
    </row>
    <row r="166" spans="2:7" ht="14.25">
      <c r="B166" s="22">
        <v>165</v>
      </c>
      <c r="C166" s="22" t="s">
        <v>200</v>
      </c>
      <c r="D166" s="22" t="s">
        <v>175</v>
      </c>
      <c r="E166" s="22" t="s">
        <v>60</v>
      </c>
      <c r="F166" t="s">
        <v>796</v>
      </c>
      <c r="G166" s="44" t="s">
        <v>951</v>
      </c>
    </row>
    <row r="167" spans="2:7" ht="14.25">
      <c r="B167" s="22">
        <v>166</v>
      </c>
      <c r="C167" s="22" t="s">
        <v>201</v>
      </c>
      <c r="D167" s="22" t="s">
        <v>175</v>
      </c>
      <c r="E167" s="22" t="s">
        <v>60</v>
      </c>
      <c r="F167" t="s">
        <v>798</v>
      </c>
      <c r="G167" s="44" t="s">
        <v>952</v>
      </c>
    </row>
    <row r="168" spans="2:7" ht="14.25">
      <c r="B168" s="22">
        <v>167</v>
      </c>
      <c r="C168" s="22" t="s">
        <v>202</v>
      </c>
      <c r="D168" s="22" t="s">
        <v>175</v>
      </c>
      <c r="E168" s="22" t="s">
        <v>60</v>
      </c>
      <c r="F168" t="s">
        <v>796</v>
      </c>
      <c r="G168" s="44" t="s">
        <v>953</v>
      </c>
    </row>
    <row r="169" spans="2:7" ht="14.25">
      <c r="B169" s="22">
        <v>168</v>
      </c>
      <c r="C169" s="22" t="s">
        <v>203</v>
      </c>
      <c r="D169" s="22" t="s">
        <v>175</v>
      </c>
      <c r="E169" s="22" t="s">
        <v>60</v>
      </c>
      <c r="F169" t="s">
        <v>796</v>
      </c>
      <c r="G169" s="44" t="s">
        <v>954</v>
      </c>
    </row>
    <row r="170" spans="2:7" ht="14.25">
      <c r="B170" s="22">
        <v>169</v>
      </c>
      <c r="C170" s="22" t="s">
        <v>204</v>
      </c>
      <c r="D170" s="22" t="s">
        <v>175</v>
      </c>
      <c r="E170" s="22" t="s">
        <v>60</v>
      </c>
      <c r="F170" t="s">
        <v>796</v>
      </c>
      <c r="G170" s="44" t="s">
        <v>918</v>
      </c>
    </row>
    <row r="171" spans="2:7" ht="14.25">
      <c r="B171" s="22">
        <v>170</v>
      </c>
      <c r="C171" s="22" t="s">
        <v>205</v>
      </c>
      <c r="D171" s="22" t="s">
        <v>175</v>
      </c>
      <c r="E171" s="22" t="s">
        <v>60</v>
      </c>
      <c r="F171" t="s">
        <v>796</v>
      </c>
      <c r="G171" s="44" t="s">
        <v>955</v>
      </c>
    </row>
    <row r="172" spans="2:7" ht="14.25">
      <c r="B172" s="22">
        <v>171</v>
      </c>
      <c r="C172" s="22" t="s">
        <v>206</v>
      </c>
      <c r="D172" s="22" t="s">
        <v>175</v>
      </c>
      <c r="E172" s="22" t="s">
        <v>60</v>
      </c>
      <c r="F172" t="s">
        <v>796</v>
      </c>
      <c r="G172" s="44" t="s">
        <v>956</v>
      </c>
    </row>
    <row r="173" spans="2:7" ht="14.25">
      <c r="B173" s="22">
        <v>172</v>
      </c>
      <c r="C173" s="22" t="s">
        <v>207</v>
      </c>
      <c r="D173" s="22" t="s">
        <v>175</v>
      </c>
      <c r="E173" s="22" t="s">
        <v>60</v>
      </c>
      <c r="F173" t="s">
        <v>796</v>
      </c>
      <c r="G173" s="44" t="s">
        <v>957</v>
      </c>
    </row>
    <row r="174" spans="2:7" ht="14.25">
      <c r="B174" s="22">
        <v>173</v>
      </c>
      <c r="C174" s="22" t="s">
        <v>208</v>
      </c>
      <c r="D174" s="22" t="s">
        <v>175</v>
      </c>
      <c r="E174" s="22" t="s">
        <v>60</v>
      </c>
      <c r="F174" t="s">
        <v>798</v>
      </c>
      <c r="G174" s="44" t="s">
        <v>958</v>
      </c>
    </row>
    <row r="175" spans="2:7" ht="14.25">
      <c r="B175" s="22">
        <v>174</v>
      </c>
      <c r="C175" s="22" t="s">
        <v>80</v>
      </c>
      <c r="D175" s="22" t="s">
        <v>175</v>
      </c>
      <c r="E175" s="22" t="s">
        <v>60</v>
      </c>
      <c r="F175" t="s">
        <v>796</v>
      </c>
      <c r="G175" s="44" t="s">
        <v>842</v>
      </c>
    </row>
    <row r="176" spans="2:7" ht="14.25">
      <c r="B176" s="22">
        <v>175</v>
      </c>
      <c r="C176" s="22" t="s">
        <v>146</v>
      </c>
      <c r="D176" s="22" t="s">
        <v>175</v>
      </c>
      <c r="E176" s="22" t="s">
        <v>60</v>
      </c>
      <c r="F176" t="s">
        <v>796</v>
      </c>
      <c r="G176" s="44" t="s">
        <v>900</v>
      </c>
    </row>
    <row r="177" spans="2:7" ht="14.25">
      <c r="B177" s="22">
        <v>176</v>
      </c>
      <c r="C177" s="22" t="s">
        <v>147</v>
      </c>
      <c r="D177" s="22" t="s">
        <v>175</v>
      </c>
      <c r="E177" s="22" t="s">
        <v>60</v>
      </c>
      <c r="F177" t="s">
        <v>796</v>
      </c>
      <c r="G177" s="44" t="s">
        <v>901</v>
      </c>
    </row>
    <row r="178" spans="2:7" ht="14.25">
      <c r="B178" s="22">
        <v>177</v>
      </c>
      <c r="C178" s="22" t="s">
        <v>81</v>
      </c>
      <c r="D178" s="22" t="s">
        <v>175</v>
      </c>
      <c r="E178" s="22" t="s">
        <v>60</v>
      </c>
      <c r="F178" t="s">
        <v>797</v>
      </c>
      <c r="G178" s="44" t="s">
        <v>959</v>
      </c>
    </row>
    <row r="179" spans="2:7" ht="14.25">
      <c r="B179" s="22">
        <v>178</v>
      </c>
      <c r="C179" s="22" t="s">
        <v>82</v>
      </c>
      <c r="D179" s="22" t="s">
        <v>175</v>
      </c>
      <c r="E179" s="22" t="s">
        <v>60</v>
      </c>
      <c r="F179" t="s">
        <v>797</v>
      </c>
      <c r="G179" s="44" t="s">
        <v>960</v>
      </c>
    </row>
    <row r="180" spans="2:7" ht="14.25">
      <c r="B180" s="22">
        <v>179</v>
      </c>
      <c r="C180" s="22" t="s">
        <v>209</v>
      </c>
      <c r="D180" s="22" t="s">
        <v>175</v>
      </c>
      <c r="E180" s="22" t="s">
        <v>60</v>
      </c>
      <c r="F180" t="s">
        <v>796</v>
      </c>
      <c r="G180" s="44" t="s">
        <v>961</v>
      </c>
    </row>
    <row r="181" spans="2:7" ht="14.25">
      <c r="B181" s="22">
        <v>180</v>
      </c>
      <c r="C181" s="22" t="s">
        <v>210</v>
      </c>
      <c r="D181" s="22" t="s">
        <v>175</v>
      </c>
      <c r="E181" s="22" t="s">
        <v>60</v>
      </c>
      <c r="F181" t="s">
        <v>796</v>
      </c>
      <c r="G181" s="44" t="s">
        <v>962</v>
      </c>
    </row>
    <row r="182" spans="2:7" ht="14.25">
      <c r="B182" s="22">
        <v>181</v>
      </c>
      <c r="C182" s="22" t="s">
        <v>211</v>
      </c>
      <c r="D182" s="22" t="s">
        <v>175</v>
      </c>
      <c r="E182" s="22" t="s">
        <v>60</v>
      </c>
      <c r="F182" t="s">
        <v>797</v>
      </c>
      <c r="G182" s="44" t="s">
        <v>963</v>
      </c>
    </row>
    <row r="183" spans="2:7" ht="14.25">
      <c r="B183" s="22">
        <v>182</v>
      </c>
      <c r="C183" s="22" t="s">
        <v>212</v>
      </c>
      <c r="D183" s="22" t="s">
        <v>175</v>
      </c>
      <c r="E183" s="22" t="s">
        <v>60</v>
      </c>
      <c r="F183" t="s">
        <v>797</v>
      </c>
      <c r="G183" s="44" t="s">
        <v>964</v>
      </c>
    </row>
    <row r="184" spans="2:7" ht="14.25">
      <c r="B184" s="22">
        <v>183</v>
      </c>
      <c r="C184" s="22" t="s">
        <v>213</v>
      </c>
      <c r="D184" s="22" t="s">
        <v>175</v>
      </c>
      <c r="E184" s="22" t="s">
        <v>60</v>
      </c>
      <c r="F184" t="s">
        <v>796</v>
      </c>
      <c r="G184" s="44" t="s">
        <v>965</v>
      </c>
    </row>
    <row r="185" spans="2:7" ht="14.25">
      <c r="B185" s="22">
        <v>184</v>
      </c>
      <c r="C185" s="22" t="s">
        <v>214</v>
      </c>
      <c r="D185" s="22" t="s">
        <v>175</v>
      </c>
      <c r="E185" s="22" t="s">
        <v>84</v>
      </c>
      <c r="F185" s="44" t="s">
        <v>798</v>
      </c>
    </row>
    <row r="186" spans="2:7" ht="14.25">
      <c r="B186" s="22">
        <v>185</v>
      </c>
      <c r="C186" s="22" t="s">
        <v>215</v>
      </c>
      <c r="D186" s="22" t="s">
        <v>175</v>
      </c>
      <c r="E186" s="22" t="s">
        <v>84</v>
      </c>
      <c r="F186" t="s">
        <v>797</v>
      </c>
      <c r="G186" s="44" t="s">
        <v>966</v>
      </c>
    </row>
    <row r="187" spans="2:7" ht="14.25">
      <c r="B187" s="22">
        <v>186</v>
      </c>
      <c r="C187" s="22" t="s">
        <v>216</v>
      </c>
      <c r="D187" s="22" t="s">
        <v>175</v>
      </c>
      <c r="E187" s="22" t="s">
        <v>84</v>
      </c>
      <c r="F187" s="44" t="s">
        <v>796</v>
      </c>
      <c r="G187" s="44" t="s">
        <v>967</v>
      </c>
    </row>
    <row r="188" spans="2:7" ht="14.25">
      <c r="B188" s="22">
        <v>187</v>
      </c>
      <c r="C188" s="22" t="s">
        <v>217</v>
      </c>
      <c r="D188" s="22" t="s">
        <v>175</v>
      </c>
      <c r="E188" s="22" t="s">
        <v>84</v>
      </c>
      <c r="F188" s="44" t="s">
        <v>797</v>
      </c>
      <c r="G188" s="44" t="s">
        <v>968</v>
      </c>
    </row>
    <row r="189" spans="2:7" ht="14.25">
      <c r="B189" s="22">
        <v>188</v>
      </c>
      <c r="C189" s="22" t="s">
        <v>218</v>
      </c>
      <c r="D189" s="22" t="s">
        <v>175</v>
      </c>
      <c r="E189" s="22" t="s">
        <v>84</v>
      </c>
      <c r="F189" s="44" t="s">
        <v>798</v>
      </c>
    </row>
    <row r="190" spans="2:7" ht="14.25">
      <c r="B190" s="22">
        <v>189</v>
      </c>
      <c r="C190" s="22" t="s">
        <v>219</v>
      </c>
      <c r="D190" s="22" t="s">
        <v>175</v>
      </c>
      <c r="E190" s="22" t="s">
        <v>84</v>
      </c>
      <c r="F190" s="44" t="s">
        <v>798</v>
      </c>
      <c r="G190" s="44" t="s">
        <v>969</v>
      </c>
    </row>
    <row r="191" spans="2:7" ht="14.25">
      <c r="B191" s="22">
        <v>190</v>
      </c>
      <c r="C191" s="22" t="s">
        <v>186</v>
      </c>
      <c r="D191" s="22" t="s">
        <v>175</v>
      </c>
      <c r="E191" s="22" t="s">
        <v>84</v>
      </c>
      <c r="F191" s="44" t="s">
        <v>796</v>
      </c>
      <c r="G191" s="44" t="s">
        <v>937</v>
      </c>
    </row>
    <row r="192" spans="2:7" ht="14.25">
      <c r="B192" s="22">
        <v>191</v>
      </c>
      <c r="C192" s="22" t="s">
        <v>220</v>
      </c>
      <c r="D192" s="22" t="s">
        <v>175</v>
      </c>
      <c r="E192" s="22" t="s">
        <v>84</v>
      </c>
      <c r="F192" s="44" t="s">
        <v>797</v>
      </c>
      <c r="G192" s="44" t="s">
        <v>970</v>
      </c>
    </row>
    <row r="193" spans="2:7" ht="14.25">
      <c r="B193" s="22">
        <v>192</v>
      </c>
      <c r="C193" s="22" t="s">
        <v>221</v>
      </c>
      <c r="D193" s="22" t="s">
        <v>175</v>
      </c>
      <c r="E193" s="22" t="s">
        <v>84</v>
      </c>
      <c r="F193" s="44" t="s">
        <v>797</v>
      </c>
      <c r="G193" s="44" t="s">
        <v>971</v>
      </c>
    </row>
    <row r="194" spans="2:7" ht="14.25">
      <c r="B194" s="22">
        <v>193</v>
      </c>
      <c r="C194" s="22" t="s">
        <v>222</v>
      </c>
      <c r="D194" s="22" t="s">
        <v>175</v>
      </c>
      <c r="E194" s="22" t="s">
        <v>84</v>
      </c>
      <c r="F194" s="44" t="s">
        <v>798</v>
      </c>
    </row>
    <row r="195" spans="2:7" ht="14.25">
      <c r="B195" s="22">
        <v>194</v>
      </c>
      <c r="C195" s="22" t="s">
        <v>223</v>
      </c>
      <c r="D195" s="22" t="s">
        <v>175</v>
      </c>
      <c r="E195" s="22" t="s">
        <v>84</v>
      </c>
      <c r="F195" s="44" t="s">
        <v>798</v>
      </c>
      <c r="G195" s="44" t="s">
        <v>972</v>
      </c>
    </row>
    <row r="196" spans="2:7" ht="14.25">
      <c r="B196" s="22">
        <v>195</v>
      </c>
      <c r="C196" s="22" t="s">
        <v>224</v>
      </c>
      <c r="D196" s="22" t="s">
        <v>175</v>
      </c>
      <c r="E196" s="22" t="s">
        <v>84</v>
      </c>
      <c r="F196" s="44" t="s">
        <v>797</v>
      </c>
      <c r="G196" s="44" t="s">
        <v>973</v>
      </c>
    </row>
    <row r="197" spans="2:7" ht="14.25">
      <c r="B197" s="22">
        <v>196</v>
      </c>
      <c r="C197" s="22" t="s">
        <v>225</v>
      </c>
      <c r="D197" s="22" t="s">
        <v>175</v>
      </c>
      <c r="E197" s="22" t="s">
        <v>84</v>
      </c>
      <c r="F197" s="44" t="s">
        <v>797</v>
      </c>
      <c r="G197" s="44" t="s">
        <v>974</v>
      </c>
    </row>
    <row r="198" spans="2:7" ht="14.25">
      <c r="B198" s="22">
        <v>197</v>
      </c>
      <c r="C198" s="22" t="s">
        <v>226</v>
      </c>
      <c r="D198" s="22" t="s">
        <v>175</v>
      </c>
      <c r="E198" s="22" t="s">
        <v>84</v>
      </c>
      <c r="F198" s="44" t="s">
        <v>797</v>
      </c>
      <c r="G198" s="44" t="s">
        <v>975</v>
      </c>
    </row>
    <row r="199" spans="2:7" ht="14.25">
      <c r="B199" s="22">
        <v>198</v>
      </c>
      <c r="C199" s="22" t="s">
        <v>227</v>
      </c>
      <c r="D199" s="22" t="s">
        <v>175</v>
      </c>
      <c r="E199" s="22" t="s">
        <v>84</v>
      </c>
      <c r="F199" s="44" t="s">
        <v>796</v>
      </c>
      <c r="G199" s="44" t="s">
        <v>976</v>
      </c>
    </row>
    <row r="200" spans="2:7" ht="14.25">
      <c r="B200" s="22">
        <v>199</v>
      </c>
      <c r="C200" s="22" t="s">
        <v>228</v>
      </c>
      <c r="D200" s="22" t="s">
        <v>175</v>
      </c>
      <c r="E200" s="22" t="s">
        <v>84</v>
      </c>
      <c r="F200" s="44" t="s">
        <v>796</v>
      </c>
      <c r="G200" s="44" t="s">
        <v>977</v>
      </c>
    </row>
    <row r="201" spans="2:7" ht="14.25">
      <c r="B201" s="22">
        <v>200</v>
      </c>
      <c r="C201" s="22" t="s">
        <v>229</v>
      </c>
      <c r="D201" s="22" t="s">
        <v>175</v>
      </c>
      <c r="E201" s="22" t="s">
        <v>84</v>
      </c>
      <c r="F201" s="44" t="s">
        <v>796</v>
      </c>
      <c r="G201" s="44" t="s">
        <v>978</v>
      </c>
    </row>
    <row r="202" spans="2:7" ht="14.25">
      <c r="B202" s="22">
        <v>201</v>
      </c>
      <c r="C202" s="22" t="s">
        <v>230</v>
      </c>
      <c r="D202" s="22" t="s">
        <v>175</v>
      </c>
      <c r="E202" s="22" t="s">
        <v>105</v>
      </c>
      <c r="F202" s="44" t="s">
        <v>797</v>
      </c>
      <c r="G202" s="44" t="s">
        <v>979</v>
      </c>
    </row>
    <row r="203" spans="2:7" ht="14.25">
      <c r="B203" s="22">
        <v>202</v>
      </c>
      <c r="C203" s="22" t="s">
        <v>231</v>
      </c>
      <c r="D203" s="22" t="s">
        <v>175</v>
      </c>
      <c r="E203" s="22" t="s">
        <v>105</v>
      </c>
      <c r="F203" s="44" t="s">
        <v>796</v>
      </c>
      <c r="G203" s="44" t="s">
        <v>980</v>
      </c>
    </row>
    <row r="204" spans="2:7" ht="14.25">
      <c r="B204" s="22">
        <v>203</v>
      </c>
      <c r="C204" s="22" t="s">
        <v>232</v>
      </c>
      <c r="D204" s="22" t="s">
        <v>175</v>
      </c>
      <c r="E204" s="22" t="s">
        <v>105</v>
      </c>
      <c r="F204" s="44" t="s">
        <v>797</v>
      </c>
      <c r="G204" s="44" t="s">
        <v>981</v>
      </c>
    </row>
    <row r="205" spans="2:7" ht="14.25">
      <c r="B205" s="22">
        <v>204</v>
      </c>
      <c r="C205" s="22" t="s">
        <v>233</v>
      </c>
      <c r="D205" s="22" t="s">
        <v>175</v>
      </c>
      <c r="E205" s="22" t="s">
        <v>105</v>
      </c>
      <c r="F205" s="44" t="s">
        <v>797</v>
      </c>
      <c r="G205" s="44" t="s">
        <v>982</v>
      </c>
    </row>
    <row r="206" spans="2:7" ht="14.25">
      <c r="B206" s="22">
        <v>205</v>
      </c>
      <c r="C206" s="22" t="s">
        <v>234</v>
      </c>
      <c r="D206" s="22" t="s">
        <v>175</v>
      </c>
      <c r="E206" s="22" t="s">
        <v>105</v>
      </c>
      <c r="F206" s="44" t="s">
        <v>796</v>
      </c>
      <c r="G206" s="44" t="s">
        <v>983</v>
      </c>
    </row>
    <row r="207" spans="2:7" ht="14.25">
      <c r="B207" s="22">
        <v>206</v>
      </c>
      <c r="C207" s="22" t="s">
        <v>235</v>
      </c>
      <c r="D207" s="22" t="s">
        <v>236</v>
      </c>
      <c r="E207" s="22" t="s">
        <v>36</v>
      </c>
      <c r="F207" t="s">
        <v>797</v>
      </c>
      <c r="G207" s="44" t="s">
        <v>984</v>
      </c>
    </row>
    <row r="208" spans="2:7" ht="14.25">
      <c r="B208" s="22">
        <v>207</v>
      </c>
      <c r="C208" s="22" t="s">
        <v>237</v>
      </c>
      <c r="D208" s="22" t="s">
        <v>236</v>
      </c>
      <c r="E208" s="22" t="s">
        <v>36</v>
      </c>
      <c r="F208" t="s">
        <v>796</v>
      </c>
      <c r="G208" s="44" t="s">
        <v>985</v>
      </c>
    </row>
    <row r="209" spans="2:7" ht="14.25">
      <c r="B209" s="22">
        <v>208</v>
      </c>
      <c r="C209" s="22" t="s">
        <v>238</v>
      </c>
      <c r="D209" s="22" t="s">
        <v>236</v>
      </c>
      <c r="E209" s="22" t="s">
        <v>36</v>
      </c>
      <c r="F209" t="s">
        <v>796</v>
      </c>
      <c r="G209" s="44" t="s">
        <v>986</v>
      </c>
    </row>
    <row r="210" spans="2:7" ht="14.25">
      <c r="B210" s="22">
        <v>209</v>
      </c>
      <c r="C210" s="22" t="s">
        <v>239</v>
      </c>
      <c r="D210" s="22" t="s">
        <v>236</v>
      </c>
      <c r="E210" s="22" t="s">
        <v>36</v>
      </c>
      <c r="F210" t="s">
        <v>796</v>
      </c>
      <c r="G210" s="44" t="s">
        <v>987</v>
      </c>
    </row>
    <row r="211" spans="2:7" ht="14.25">
      <c r="B211" s="22">
        <v>210</v>
      </c>
      <c r="C211" s="22" t="s">
        <v>240</v>
      </c>
      <c r="D211" s="22" t="s">
        <v>236</v>
      </c>
      <c r="E211" s="22" t="s">
        <v>36</v>
      </c>
      <c r="F211" t="s">
        <v>796</v>
      </c>
      <c r="G211" s="44" t="s">
        <v>988</v>
      </c>
    </row>
    <row r="212" spans="2:7" ht="14.25">
      <c r="B212" s="22">
        <v>211</v>
      </c>
      <c r="C212" s="22" t="s">
        <v>241</v>
      </c>
      <c r="D212" s="22" t="s">
        <v>236</v>
      </c>
      <c r="E212" s="22" t="s">
        <v>36</v>
      </c>
      <c r="F212" t="s">
        <v>796</v>
      </c>
      <c r="G212" s="44" t="s">
        <v>989</v>
      </c>
    </row>
    <row r="213" spans="2:7" ht="14.25">
      <c r="B213" s="22">
        <v>212</v>
      </c>
      <c r="C213" s="22" t="s">
        <v>242</v>
      </c>
      <c r="D213" s="22" t="s">
        <v>236</v>
      </c>
      <c r="E213" s="22" t="s">
        <v>36</v>
      </c>
      <c r="F213" t="s">
        <v>796</v>
      </c>
      <c r="G213" s="44" t="s">
        <v>990</v>
      </c>
    </row>
    <row r="214" spans="2:7" ht="14.25">
      <c r="B214" s="22">
        <v>213</v>
      </c>
      <c r="C214" s="22" t="s">
        <v>243</v>
      </c>
      <c r="D214" s="22" t="s">
        <v>236</v>
      </c>
      <c r="E214" s="22" t="s">
        <v>36</v>
      </c>
      <c r="F214" t="s">
        <v>798</v>
      </c>
      <c r="G214" s="44" t="s">
        <v>991</v>
      </c>
    </row>
    <row r="215" spans="2:7" ht="14.25">
      <c r="B215" s="22">
        <v>214</v>
      </c>
      <c r="C215" s="22" t="s">
        <v>124</v>
      </c>
      <c r="D215" s="22" t="s">
        <v>236</v>
      </c>
      <c r="E215" s="22" t="s">
        <v>36</v>
      </c>
      <c r="F215" t="s">
        <v>796</v>
      </c>
      <c r="G215" s="44" t="s">
        <v>880</v>
      </c>
    </row>
    <row r="216" spans="2:7" ht="14.25">
      <c r="B216" s="22">
        <v>215</v>
      </c>
      <c r="C216" s="22" t="s">
        <v>244</v>
      </c>
      <c r="D216" s="22" t="s">
        <v>236</v>
      </c>
      <c r="E216" s="22" t="s">
        <v>36</v>
      </c>
      <c r="F216" t="s">
        <v>796</v>
      </c>
      <c r="G216" s="44" t="s">
        <v>992</v>
      </c>
    </row>
    <row r="217" spans="2:7" ht="14.25">
      <c r="B217" s="22">
        <v>216</v>
      </c>
      <c r="C217" s="22" t="s">
        <v>245</v>
      </c>
      <c r="D217" s="22" t="s">
        <v>236</v>
      </c>
      <c r="E217" s="22" t="s">
        <v>36</v>
      </c>
      <c r="F217" t="s">
        <v>796</v>
      </c>
      <c r="G217" s="44" t="s">
        <v>993</v>
      </c>
    </row>
    <row r="218" spans="2:7" ht="14.25">
      <c r="B218" s="22">
        <v>217</v>
      </c>
      <c r="C218" s="22" t="s">
        <v>246</v>
      </c>
      <c r="D218" s="22" t="s">
        <v>236</v>
      </c>
      <c r="E218" s="22" t="s">
        <v>36</v>
      </c>
      <c r="F218" t="s">
        <v>796</v>
      </c>
      <c r="G218" s="44" t="s">
        <v>994</v>
      </c>
    </row>
    <row r="219" spans="2:7" ht="14.25">
      <c r="B219" s="22">
        <v>218</v>
      </c>
      <c r="C219" s="22" t="s">
        <v>44</v>
      </c>
      <c r="D219" s="22" t="s">
        <v>236</v>
      </c>
      <c r="E219" s="22" t="s">
        <v>36</v>
      </c>
      <c r="F219" t="s">
        <v>796</v>
      </c>
      <c r="G219" s="44" t="s">
        <v>807</v>
      </c>
    </row>
    <row r="220" spans="2:7" ht="14.25">
      <c r="B220" s="22">
        <v>219</v>
      </c>
      <c r="C220" s="22" t="s">
        <v>45</v>
      </c>
      <c r="D220" s="22" t="s">
        <v>236</v>
      </c>
      <c r="E220" s="22" t="s">
        <v>36</v>
      </c>
      <c r="F220" t="s">
        <v>798</v>
      </c>
      <c r="G220" s="44" t="s">
        <v>995</v>
      </c>
    </row>
    <row r="221" spans="2:7" ht="14.25">
      <c r="B221" s="22">
        <v>220</v>
      </c>
      <c r="C221" s="22" t="s">
        <v>125</v>
      </c>
      <c r="D221" s="22" t="s">
        <v>236</v>
      </c>
      <c r="E221" s="22" t="s">
        <v>36</v>
      </c>
      <c r="F221" t="s">
        <v>796</v>
      </c>
      <c r="G221" s="44" t="s">
        <v>881</v>
      </c>
    </row>
    <row r="222" spans="2:7" ht="14.25">
      <c r="B222" s="22">
        <v>221</v>
      </c>
      <c r="C222" s="22" t="s">
        <v>247</v>
      </c>
      <c r="D222" s="22" t="s">
        <v>236</v>
      </c>
      <c r="E222" s="22" t="s">
        <v>36</v>
      </c>
      <c r="F222" t="s">
        <v>796</v>
      </c>
      <c r="G222" s="44" t="s">
        <v>996</v>
      </c>
    </row>
    <row r="223" spans="2:7" ht="14.25">
      <c r="B223" s="22">
        <v>222</v>
      </c>
      <c r="C223" s="22" t="s">
        <v>210</v>
      </c>
      <c r="D223" s="22" t="s">
        <v>236</v>
      </c>
      <c r="E223" s="22" t="s">
        <v>36</v>
      </c>
      <c r="F223" t="s">
        <v>796</v>
      </c>
      <c r="G223" s="44" t="s">
        <v>997</v>
      </c>
    </row>
    <row r="224" spans="2:7" ht="14.25">
      <c r="B224" s="22">
        <v>223</v>
      </c>
      <c r="C224" s="22" t="s">
        <v>248</v>
      </c>
      <c r="D224" s="22" t="s">
        <v>236</v>
      </c>
      <c r="E224" s="22" t="s">
        <v>36</v>
      </c>
      <c r="F224" t="s">
        <v>796</v>
      </c>
      <c r="G224" s="44" t="s">
        <v>998</v>
      </c>
    </row>
    <row r="225" spans="2:7" ht="14.25">
      <c r="B225" s="22">
        <v>224</v>
      </c>
      <c r="C225" s="22" t="s">
        <v>249</v>
      </c>
      <c r="D225" s="22" t="s">
        <v>236</v>
      </c>
      <c r="E225" s="22" t="s">
        <v>36</v>
      </c>
      <c r="F225" t="s">
        <v>796</v>
      </c>
      <c r="G225" s="44" t="s">
        <v>999</v>
      </c>
    </row>
    <row r="226" spans="2:7" ht="14.25">
      <c r="B226" s="22">
        <v>225</v>
      </c>
      <c r="C226" s="22" t="s">
        <v>250</v>
      </c>
      <c r="D226" s="22" t="s">
        <v>236</v>
      </c>
      <c r="E226" s="22" t="s">
        <v>36</v>
      </c>
      <c r="F226" t="s">
        <v>796</v>
      </c>
      <c r="G226" s="44" t="s">
        <v>1000</v>
      </c>
    </row>
    <row r="227" spans="2:7" ht="14.25">
      <c r="B227" s="22">
        <v>226</v>
      </c>
      <c r="C227" s="22" t="s">
        <v>251</v>
      </c>
      <c r="D227" s="22" t="s">
        <v>236</v>
      </c>
      <c r="E227" s="22" t="s">
        <v>36</v>
      </c>
      <c r="F227" t="s">
        <v>797</v>
      </c>
      <c r="G227" s="44" t="s">
        <v>1001</v>
      </c>
    </row>
    <row r="228" spans="2:7" ht="14.25">
      <c r="B228" s="22">
        <v>227</v>
      </c>
      <c r="C228" s="22" t="s">
        <v>56</v>
      </c>
      <c r="D228" s="22" t="s">
        <v>236</v>
      </c>
      <c r="E228" s="22" t="s">
        <v>36</v>
      </c>
      <c r="F228" t="s">
        <v>796</v>
      </c>
      <c r="G228" s="44" t="s">
        <v>819</v>
      </c>
    </row>
    <row r="229" spans="2:7" ht="14.25">
      <c r="B229" s="22">
        <v>228</v>
      </c>
      <c r="C229" s="22" t="s">
        <v>252</v>
      </c>
      <c r="D229" s="22" t="s">
        <v>236</v>
      </c>
      <c r="E229" s="22" t="s">
        <v>36</v>
      </c>
      <c r="F229" t="s">
        <v>796</v>
      </c>
      <c r="G229" s="44" t="s">
        <v>1002</v>
      </c>
    </row>
    <row r="230" spans="2:7" ht="14.25">
      <c r="B230" s="22">
        <v>229</v>
      </c>
      <c r="C230" s="22" t="s">
        <v>46</v>
      </c>
      <c r="D230" s="22" t="s">
        <v>236</v>
      </c>
      <c r="E230" s="22" t="s">
        <v>36</v>
      </c>
      <c r="F230" t="s">
        <v>796</v>
      </c>
      <c r="G230" s="44" t="s">
        <v>1003</v>
      </c>
    </row>
    <row r="231" spans="2:7" ht="14.25">
      <c r="B231" s="22">
        <v>230</v>
      </c>
      <c r="C231" s="22" t="s">
        <v>253</v>
      </c>
      <c r="D231" s="22" t="s">
        <v>236</v>
      </c>
      <c r="E231" s="22" t="s">
        <v>36</v>
      </c>
      <c r="F231" t="s">
        <v>796</v>
      </c>
      <c r="G231" s="44" t="s">
        <v>828</v>
      </c>
    </row>
    <row r="232" spans="2:7" ht="14.25">
      <c r="B232" s="22">
        <v>231</v>
      </c>
      <c r="C232" s="22" t="s">
        <v>122</v>
      </c>
      <c r="D232" s="22" t="s">
        <v>236</v>
      </c>
      <c r="E232" s="22" t="s">
        <v>36</v>
      </c>
      <c r="F232" t="s">
        <v>797</v>
      </c>
      <c r="G232" s="44" t="s">
        <v>1004</v>
      </c>
    </row>
    <row r="233" spans="2:7" ht="14.25">
      <c r="B233" s="22">
        <v>232</v>
      </c>
      <c r="C233" s="22" t="s">
        <v>254</v>
      </c>
      <c r="D233" s="22" t="s">
        <v>236</v>
      </c>
      <c r="E233" s="22" t="s">
        <v>36</v>
      </c>
      <c r="F233" t="s">
        <v>796</v>
      </c>
      <c r="G233" s="44" t="s">
        <v>1005</v>
      </c>
    </row>
    <row r="234" spans="2:7" ht="14.25">
      <c r="B234" s="22">
        <v>233</v>
      </c>
      <c r="C234" s="22" t="s">
        <v>255</v>
      </c>
      <c r="D234" s="22" t="s">
        <v>236</v>
      </c>
      <c r="E234" s="22" t="s">
        <v>60</v>
      </c>
      <c r="F234" t="s">
        <v>796</v>
      </c>
      <c r="G234" s="44" t="s">
        <v>1006</v>
      </c>
    </row>
    <row r="235" spans="2:7" ht="14.25">
      <c r="B235" s="22">
        <v>234</v>
      </c>
      <c r="C235" s="22" t="s">
        <v>256</v>
      </c>
      <c r="D235" s="22" t="s">
        <v>236</v>
      </c>
      <c r="E235" s="22" t="s">
        <v>60</v>
      </c>
      <c r="F235" t="s">
        <v>797</v>
      </c>
      <c r="G235" s="44" t="s">
        <v>1007</v>
      </c>
    </row>
    <row r="236" spans="2:7" ht="14.25">
      <c r="B236" s="22">
        <v>235</v>
      </c>
      <c r="C236" s="22" t="s">
        <v>257</v>
      </c>
      <c r="D236" s="22" t="s">
        <v>236</v>
      </c>
      <c r="E236" s="22" t="s">
        <v>60</v>
      </c>
      <c r="F236" t="s">
        <v>796</v>
      </c>
      <c r="G236" s="44" t="s">
        <v>988</v>
      </c>
    </row>
    <row r="237" spans="2:7" ht="14.25">
      <c r="B237" s="22">
        <v>236</v>
      </c>
      <c r="C237" s="22" t="s">
        <v>258</v>
      </c>
      <c r="D237" s="22" t="s">
        <v>236</v>
      </c>
      <c r="E237" s="22" t="s">
        <v>60</v>
      </c>
      <c r="F237" t="s">
        <v>796</v>
      </c>
      <c r="G237" s="44" t="s">
        <v>1008</v>
      </c>
    </row>
    <row r="238" spans="2:7" ht="14.25">
      <c r="B238" s="22">
        <v>237</v>
      </c>
      <c r="C238" s="22" t="s">
        <v>259</v>
      </c>
      <c r="D238" s="22" t="s">
        <v>236</v>
      </c>
      <c r="E238" s="22" t="s">
        <v>60</v>
      </c>
      <c r="F238" t="s">
        <v>796</v>
      </c>
      <c r="G238" s="44" t="s">
        <v>1009</v>
      </c>
    </row>
    <row r="239" spans="2:7" ht="14.25">
      <c r="B239" s="22">
        <v>238</v>
      </c>
      <c r="C239" s="22" t="s">
        <v>260</v>
      </c>
      <c r="D239" s="22" t="s">
        <v>236</v>
      </c>
      <c r="E239" s="22" t="s">
        <v>60</v>
      </c>
      <c r="F239" t="s">
        <v>797</v>
      </c>
      <c r="G239" s="44" t="s">
        <v>1010</v>
      </c>
    </row>
    <row r="240" spans="2:7" ht="14.25">
      <c r="B240" s="22">
        <v>239</v>
      </c>
      <c r="C240" s="22" t="s">
        <v>261</v>
      </c>
      <c r="D240" s="22" t="s">
        <v>236</v>
      </c>
      <c r="E240" s="22" t="s">
        <v>60</v>
      </c>
      <c r="F240" t="s">
        <v>798</v>
      </c>
    </row>
    <row r="241" spans="2:7" ht="14.25">
      <c r="B241" s="22">
        <v>240</v>
      </c>
      <c r="C241" s="22" t="s">
        <v>262</v>
      </c>
      <c r="D241" s="22" t="s">
        <v>236</v>
      </c>
      <c r="E241" s="22" t="s">
        <v>60</v>
      </c>
      <c r="F241" t="s">
        <v>797</v>
      </c>
      <c r="G241" t="s">
        <v>1011</v>
      </c>
    </row>
    <row r="242" spans="2:7" ht="14.25">
      <c r="B242" s="22">
        <v>241</v>
      </c>
      <c r="C242" s="22" t="s">
        <v>263</v>
      </c>
      <c r="D242" s="22" t="s">
        <v>236</v>
      </c>
      <c r="E242" s="22" t="s">
        <v>60</v>
      </c>
      <c r="F242" t="s">
        <v>797</v>
      </c>
      <c r="G242" t="s">
        <v>1012</v>
      </c>
    </row>
    <row r="243" spans="2:7" ht="14.25">
      <c r="B243" s="22">
        <v>242</v>
      </c>
      <c r="C243" s="22" t="s">
        <v>264</v>
      </c>
      <c r="D243" s="22" t="s">
        <v>236</v>
      </c>
      <c r="E243" s="22" t="s">
        <v>60</v>
      </c>
      <c r="F243" t="s">
        <v>798</v>
      </c>
      <c r="G243" t="s">
        <v>1013</v>
      </c>
    </row>
    <row r="244" spans="2:7" ht="14.25">
      <c r="B244" s="22">
        <v>243</v>
      </c>
      <c r="C244" s="22" t="s">
        <v>265</v>
      </c>
      <c r="D244" s="22" t="s">
        <v>236</v>
      </c>
      <c r="E244" s="22" t="s">
        <v>60</v>
      </c>
      <c r="F244" t="s">
        <v>796</v>
      </c>
      <c r="G244" t="s">
        <v>1014</v>
      </c>
    </row>
    <row r="245" spans="2:7" ht="14.25">
      <c r="B245" s="22">
        <v>244</v>
      </c>
      <c r="C245" s="22" t="s">
        <v>266</v>
      </c>
      <c r="D245" s="22" t="s">
        <v>236</v>
      </c>
      <c r="E245" s="22" t="s">
        <v>60</v>
      </c>
      <c r="F245" t="s">
        <v>797</v>
      </c>
    </row>
    <row r="246" spans="2:7" ht="14.25">
      <c r="B246" s="22">
        <v>245</v>
      </c>
      <c r="C246" s="22" t="s">
        <v>267</v>
      </c>
      <c r="D246" s="22" t="s">
        <v>236</v>
      </c>
      <c r="E246" s="22" t="s">
        <v>60</v>
      </c>
      <c r="F246" t="s">
        <v>796</v>
      </c>
      <c r="G246" t="s">
        <v>1015</v>
      </c>
    </row>
    <row r="247" spans="2:7" ht="14.25">
      <c r="B247" s="22">
        <v>246</v>
      </c>
      <c r="C247" s="22" t="s">
        <v>268</v>
      </c>
      <c r="D247" s="22" t="s">
        <v>236</v>
      </c>
      <c r="E247" s="22" t="s">
        <v>60</v>
      </c>
      <c r="F247" t="s">
        <v>797</v>
      </c>
      <c r="G247" t="s">
        <v>1016</v>
      </c>
    </row>
    <row r="248" spans="2:7" ht="14.25">
      <c r="B248" s="22">
        <v>247</v>
      </c>
      <c r="C248" s="22" t="s">
        <v>269</v>
      </c>
      <c r="D248" s="22" t="s">
        <v>236</v>
      </c>
      <c r="E248" s="22" t="s">
        <v>60</v>
      </c>
      <c r="F248" t="s">
        <v>797</v>
      </c>
    </row>
    <row r="249" spans="2:7" ht="14.25">
      <c r="B249" s="22">
        <v>248</v>
      </c>
      <c r="C249" s="22" t="s">
        <v>270</v>
      </c>
      <c r="D249" s="22" t="s">
        <v>236</v>
      </c>
      <c r="E249" s="22" t="s">
        <v>60</v>
      </c>
      <c r="F249" t="s">
        <v>796</v>
      </c>
      <c r="G249" t="s">
        <v>1017</v>
      </c>
    </row>
    <row r="250" spans="2:7" ht="14.25">
      <c r="B250" s="22">
        <v>249</v>
      </c>
      <c r="C250" s="22" t="s">
        <v>145</v>
      </c>
      <c r="D250" s="22" t="s">
        <v>236</v>
      </c>
      <c r="E250" s="22" t="s">
        <v>60</v>
      </c>
      <c r="F250" t="s">
        <v>797</v>
      </c>
      <c r="G250" t="s">
        <v>1018</v>
      </c>
    </row>
    <row r="251" spans="2:7" ht="14.25">
      <c r="B251" s="22">
        <v>250</v>
      </c>
      <c r="C251" s="22" t="s">
        <v>126</v>
      </c>
      <c r="D251" s="22" t="s">
        <v>236</v>
      </c>
      <c r="E251" s="22" t="s">
        <v>60</v>
      </c>
      <c r="F251" t="s">
        <v>797</v>
      </c>
      <c r="G251" t="s">
        <v>897</v>
      </c>
    </row>
    <row r="252" spans="2:7" ht="14.25">
      <c r="B252" s="22">
        <v>251</v>
      </c>
      <c r="C252" s="22" t="s">
        <v>127</v>
      </c>
      <c r="D252" s="22" t="s">
        <v>236</v>
      </c>
      <c r="E252" s="22" t="s">
        <v>60</v>
      </c>
      <c r="F252" t="s">
        <v>797</v>
      </c>
      <c r="G252" t="s">
        <v>882</v>
      </c>
    </row>
    <row r="253" spans="2:7" ht="14.25">
      <c r="B253" s="22">
        <v>252</v>
      </c>
      <c r="C253" s="22" t="s">
        <v>142</v>
      </c>
      <c r="D253" s="22" t="s">
        <v>236</v>
      </c>
      <c r="E253" s="22" t="s">
        <v>60</v>
      </c>
      <c r="F253" t="s">
        <v>797</v>
      </c>
      <c r="G253" t="s">
        <v>1019</v>
      </c>
    </row>
    <row r="254" spans="2:7" ht="14.25">
      <c r="B254" s="22">
        <v>253</v>
      </c>
      <c r="C254" s="22" t="s">
        <v>271</v>
      </c>
      <c r="D254" s="22" t="s">
        <v>236</v>
      </c>
      <c r="E254" s="22" t="s">
        <v>60</v>
      </c>
      <c r="F254" t="s">
        <v>796</v>
      </c>
      <c r="G254" t="s">
        <v>1020</v>
      </c>
    </row>
    <row r="255" spans="2:7" ht="14.25">
      <c r="B255" s="22">
        <v>254</v>
      </c>
      <c r="C255" s="22" t="s">
        <v>272</v>
      </c>
      <c r="D255" s="22" t="s">
        <v>236</v>
      </c>
      <c r="E255" s="22" t="s">
        <v>60</v>
      </c>
      <c r="F255" t="s">
        <v>796</v>
      </c>
      <c r="G255" t="s">
        <v>1021</v>
      </c>
    </row>
    <row r="256" spans="2:7" ht="14.25">
      <c r="B256" s="22">
        <v>255</v>
      </c>
      <c r="C256" s="22" t="s">
        <v>273</v>
      </c>
      <c r="D256" s="22" t="s">
        <v>236</v>
      </c>
      <c r="E256" s="22" t="s">
        <v>60</v>
      </c>
      <c r="F256" t="s">
        <v>796</v>
      </c>
      <c r="G256" t="s">
        <v>1022</v>
      </c>
    </row>
    <row r="257" spans="2:7" ht="14.25">
      <c r="B257" s="22">
        <v>256</v>
      </c>
      <c r="C257" s="22" t="s">
        <v>274</v>
      </c>
      <c r="D257" s="22" t="s">
        <v>236</v>
      </c>
      <c r="E257" s="22" t="s">
        <v>60</v>
      </c>
      <c r="F257" t="s">
        <v>796</v>
      </c>
      <c r="G257" t="s">
        <v>1023</v>
      </c>
    </row>
    <row r="258" spans="2:7" ht="14.25">
      <c r="B258" s="22">
        <v>257</v>
      </c>
      <c r="C258" s="22" t="s">
        <v>275</v>
      </c>
      <c r="D258" s="22" t="s">
        <v>236</v>
      </c>
      <c r="E258" s="22" t="s">
        <v>60</v>
      </c>
      <c r="F258" t="s">
        <v>798</v>
      </c>
      <c r="G258" t="s">
        <v>1024</v>
      </c>
    </row>
    <row r="259" spans="2:7" ht="14.25">
      <c r="B259" s="22">
        <v>258</v>
      </c>
      <c r="C259" s="22" t="s">
        <v>276</v>
      </c>
      <c r="D259" s="22" t="s">
        <v>236</v>
      </c>
      <c r="E259" s="22" t="s">
        <v>60</v>
      </c>
      <c r="F259" t="s">
        <v>796</v>
      </c>
      <c r="G259" t="s">
        <v>1025</v>
      </c>
    </row>
    <row r="260" spans="2:7" ht="14.25">
      <c r="B260" s="22">
        <v>259</v>
      </c>
      <c r="C260" s="22" t="s">
        <v>277</v>
      </c>
      <c r="D260" s="22" t="s">
        <v>236</v>
      </c>
      <c r="E260" s="22" t="s">
        <v>60</v>
      </c>
      <c r="F260" t="s">
        <v>798</v>
      </c>
    </row>
    <row r="261" spans="2:7" ht="14.25">
      <c r="B261" s="22">
        <v>260</v>
      </c>
      <c r="C261" s="22" t="s">
        <v>278</v>
      </c>
      <c r="D261" s="22" t="s">
        <v>236</v>
      </c>
      <c r="E261" s="22" t="s">
        <v>60</v>
      </c>
      <c r="F261" t="s">
        <v>797</v>
      </c>
      <c r="G261" t="s">
        <v>1026</v>
      </c>
    </row>
    <row r="262" spans="2:7" ht="14.25">
      <c r="B262" s="22">
        <v>261</v>
      </c>
      <c r="C262" s="22" t="s">
        <v>279</v>
      </c>
      <c r="D262" s="22" t="s">
        <v>236</v>
      </c>
      <c r="E262" s="22" t="s">
        <v>60</v>
      </c>
      <c r="F262" t="s">
        <v>796</v>
      </c>
      <c r="G262" t="s">
        <v>1027</v>
      </c>
    </row>
    <row r="263" spans="2:7" ht="14.25">
      <c r="B263" s="22">
        <v>262</v>
      </c>
      <c r="C263" s="22" t="s">
        <v>280</v>
      </c>
      <c r="D263" s="22" t="s">
        <v>236</v>
      </c>
      <c r="E263" s="22" t="s">
        <v>60</v>
      </c>
      <c r="F263" t="s">
        <v>797</v>
      </c>
      <c r="G263" t="s">
        <v>1028</v>
      </c>
    </row>
    <row r="264" spans="2:7" ht="14.25">
      <c r="B264" s="22">
        <v>263</v>
      </c>
      <c r="C264" s="22" t="s">
        <v>281</v>
      </c>
      <c r="D264" s="22" t="s">
        <v>236</v>
      </c>
      <c r="E264" s="22" t="s">
        <v>84</v>
      </c>
      <c r="F264" s="44" t="s">
        <v>798</v>
      </c>
      <c r="G264" s="44" t="s">
        <v>1029</v>
      </c>
    </row>
    <row r="265" spans="2:7" ht="14.25">
      <c r="B265" s="22">
        <v>264</v>
      </c>
      <c r="C265" s="22" t="s">
        <v>282</v>
      </c>
      <c r="D265" s="22" t="s">
        <v>236</v>
      </c>
      <c r="E265" s="22" t="s">
        <v>84</v>
      </c>
      <c r="F265" s="44" t="s">
        <v>798</v>
      </c>
    </row>
    <row r="266" spans="2:7" ht="14.25">
      <c r="B266" s="22">
        <v>265</v>
      </c>
      <c r="C266" s="22" t="s">
        <v>283</v>
      </c>
      <c r="D266" s="22" t="s">
        <v>236</v>
      </c>
      <c r="E266" s="22" t="s">
        <v>84</v>
      </c>
      <c r="F266" s="44" t="s">
        <v>797</v>
      </c>
      <c r="G266" s="44" t="s">
        <v>1030</v>
      </c>
    </row>
    <row r="267" spans="2:7" ht="14.25">
      <c r="B267" s="22">
        <v>266</v>
      </c>
      <c r="C267" s="22" t="s">
        <v>284</v>
      </c>
      <c r="D267" s="22" t="s">
        <v>236</v>
      </c>
      <c r="E267" s="22" t="s">
        <v>84</v>
      </c>
      <c r="F267" s="44" t="s">
        <v>798</v>
      </c>
      <c r="G267" s="44" t="s">
        <v>1031</v>
      </c>
    </row>
    <row r="268" spans="2:7" ht="14.25">
      <c r="B268" s="22">
        <v>267</v>
      </c>
      <c r="C268" s="22" t="s">
        <v>285</v>
      </c>
      <c r="D268" s="22" t="s">
        <v>236</v>
      </c>
      <c r="E268" s="22" t="s">
        <v>84</v>
      </c>
      <c r="F268" s="44" t="s">
        <v>796</v>
      </c>
      <c r="G268" s="44" t="s">
        <v>1032</v>
      </c>
    </row>
    <row r="269" spans="2:7" ht="14.25">
      <c r="B269" s="22">
        <v>268</v>
      </c>
      <c r="C269" s="22" t="s">
        <v>286</v>
      </c>
      <c r="D269" s="22" t="s">
        <v>236</v>
      </c>
      <c r="E269" s="22" t="s">
        <v>84</v>
      </c>
      <c r="F269" s="44" t="s">
        <v>798</v>
      </c>
    </row>
    <row r="270" spans="2:7" ht="14.25">
      <c r="B270" s="22">
        <v>269</v>
      </c>
      <c r="C270" s="22" t="s">
        <v>287</v>
      </c>
      <c r="D270" s="22" t="s">
        <v>236</v>
      </c>
      <c r="E270" s="22" t="s">
        <v>84</v>
      </c>
      <c r="F270" s="44" t="s">
        <v>796</v>
      </c>
      <c r="G270" s="44" t="s">
        <v>1033</v>
      </c>
    </row>
    <row r="271" spans="2:7" ht="14.25">
      <c r="B271" s="22">
        <v>270</v>
      </c>
      <c r="C271" s="22" t="s">
        <v>288</v>
      </c>
      <c r="D271" s="22" t="s">
        <v>236</v>
      </c>
      <c r="E271" s="22" t="s">
        <v>84</v>
      </c>
      <c r="F271" s="44" t="s">
        <v>796</v>
      </c>
      <c r="G271" s="44" t="s">
        <v>1034</v>
      </c>
    </row>
    <row r="272" spans="2:7" ht="14.25">
      <c r="B272" s="22">
        <v>271</v>
      </c>
      <c r="C272" s="22" t="s">
        <v>289</v>
      </c>
      <c r="D272" s="22" t="s">
        <v>236</v>
      </c>
      <c r="E272" s="22" t="s">
        <v>84</v>
      </c>
      <c r="F272" s="44" t="s">
        <v>798</v>
      </c>
      <c r="G272" s="44" t="s">
        <v>1035</v>
      </c>
    </row>
    <row r="273" spans="2:7" ht="14.25">
      <c r="B273" s="22">
        <v>272</v>
      </c>
      <c r="C273" s="22" t="s">
        <v>290</v>
      </c>
      <c r="D273" s="22" t="s">
        <v>236</v>
      </c>
      <c r="E273" s="22" t="s">
        <v>84</v>
      </c>
      <c r="F273" s="44" t="s">
        <v>796</v>
      </c>
      <c r="G273" s="44" t="s">
        <v>1036</v>
      </c>
    </row>
    <row r="274" spans="2:7" ht="14.25">
      <c r="B274" s="22">
        <v>273</v>
      </c>
      <c r="C274" s="22" t="s">
        <v>291</v>
      </c>
      <c r="D274" s="22" t="s">
        <v>236</v>
      </c>
      <c r="E274" s="22" t="s">
        <v>84</v>
      </c>
      <c r="F274" s="44" t="s">
        <v>797</v>
      </c>
      <c r="G274" s="44" t="s">
        <v>1037</v>
      </c>
    </row>
    <row r="275" spans="2:7" ht="14.25">
      <c r="B275" s="22">
        <v>274</v>
      </c>
      <c r="C275" s="22" t="s">
        <v>292</v>
      </c>
      <c r="D275" s="22" t="s">
        <v>236</v>
      </c>
      <c r="E275" s="22" t="s">
        <v>84</v>
      </c>
      <c r="F275" s="44" t="s">
        <v>798</v>
      </c>
      <c r="G275" s="44" t="s">
        <v>1038</v>
      </c>
    </row>
    <row r="276" spans="2:7" ht="14.25">
      <c r="B276" s="22">
        <v>275</v>
      </c>
      <c r="C276" s="22" t="s">
        <v>277</v>
      </c>
      <c r="D276" s="22" t="s">
        <v>236</v>
      </c>
      <c r="E276" s="22" t="s">
        <v>84</v>
      </c>
      <c r="F276" s="44" t="s">
        <v>798</v>
      </c>
      <c r="G276" s="44" t="s">
        <v>1038</v>
      </c>
    </row>
    <row r="277" spans="2:7" ht="14.25">
      <c r="B277" s="22">
        <v>276</v>
      </c>
      <c r="C277" s="22" t="s">
        <v>293</v>
      </c>
      <c r="D277" s="22" t="s">
        <v>236</v>
      </c>
      <c r="E277" s="22" t="s">
        <v>84</v>
      </c>
      <c r="F277" s="44" t="s">
        <v>796</v>
      </c>
      <c r="G277" s="44" t="s">
        <v>1039</v>
      </c>
    </row>
    <row r="278" spans="2:7" ht="14.25">
      <c r="B278" s="22">
        <v>277</v>
      </c>
      <c r="C278" s="22" t="s">
        <v>294</v>
      </c>
      <c r="D278" s="22" t="s">
        <v>236</v>
      </c>
      <c r="E278" s="22" t="s">
        <v>84</v>
      </c>
      <c r="F278" s="44" t="s">
        <v>798</v>
      </c>
      <c r="G278" s="44" t="s">
        <v>1040</v>
      </c>
    </row>
    <row r="279" spans="2:7" ht="14.25">
      <c r="B279" s="22">
        <v>278</v>
      </c>
      <c r="C279" s="22" t="s">
        <v>295</v>
      </c>
      <c r="D279" s="22" t="s">
        <v>236</v>
      </c>
      <c r="E279" s="22" t="s">
        <v>84</v>
      </c>
      <c r="F279" s="44" t="s">
        <v>798</v>
      </c>
      <c r="G279" s="44" t="s">
        <v>1041</v>
      </c>
    </row>
    <row r="280" spans="2:7" ht="14.25">
      <c r="B280" s="22">
        <v>279</v>
      </c>
      <c r="C280" s="22" t="s">
        <v>296</v>
      </c>
      <c r="D280" s="22" t="s">
        <v>236</v>
      </c>
      <c r="E280" s="22" t="s">
        <v>84</v>
      </c>
      <c r="F280" s="44" t="s">
        <v>798</v>
      </c>
      <c r="G280" s="44" t="s">
        <v>1042</v>
      </c>
    </row>
    <row r="281" spans="2:7" ht="14.25">
      <c r="B281" s="22">
        <v>280</v>
      </c>
      <c r="C281" s="22" t="s">
        <v>297</v>
      </c>
      <c r="D281" s="22" t="s">
        <v>236</v>
      </c>
      <c r="E281" s="22" t="s">
        <v>84</v>
      </c>
      <c r="F281" s="44" t="s">
        <v>798</v>
      </c>
      <c r="G281" s="44" t="s">
        <v>1041</v>
      </c>
    </row>
    <row r="282" spans="2:7" ht="14.25">
      <c r="B282" s="22">
        <v>281</v>
      </c>
      <c r="C282" s="22" t="s">
        <v>298</v>
      </c>
      <c r="D282" s="22" t="s">
        <v>236</v>
      </c>
      <c r="E282" s="22" t="s">
        <v>105</v>
      </c>
      <c r="F282" s="44" t="s">
        <v>798</v>
      </c>
      <c r="G282" s="44" t="s">
        <v>1043</v>
      </c>
    </row>
    <row r="283" spans="2:7" ht="14.25">
      <c r="B283" s="22">
        <v>282</v>
      </c>
      <c r="C283" s="22" t="s">
        <v>299</v>
      </c>
      <c r="D283" s="22" t="s">
        <v>236</v>
      </c>
      <c r="E283" s="22" t="s">
        <v>105</v>
      </c>
      <c r="F283" s="44" t="s">
        <v>798</v>
      </c>
      <c r="G283" s="44" t="s">
        <v>1044</v>
      </c>
    </row>
    <row r="284" spans="2:7" ht="14.25">
      <c r="B284" s="22">
        <v>283</v>
      </c>
      <c r="C284" s="22" t="s">
        <v>300</v>
      </c>
      <c r="D284" s="22" t="s">
        <v>236</v>
      </c>
      <c r="E284" s="22" t="s">
        <v>105</v>
      </c>
      <c r="F284" s="44" t="s">
        <v>798</v>
      </c>
    </row>
    <row r="285" spans="2:7" ht="14.25">
      <c r="B285" s="22">
        <v>284</v>
      </c>
      <c r="C285" s="22" t="s">
        <v>301</v>
      </c>
      <c r="D285" s="22" t="s">
        <v>236</v>
      </c>
      <c r="E285" s="22" t="s">
        <v>105</v>
      </c>
      <c r="F285" s="44" t="s">
        <v>796</v>
      </c>
      <c r="G285" s="44" t="s">
        <v>1045</v>
      </c>
    </row>
    <row r="286" spans="2:7" ht="14.25">
      <c r="B286" s="22">
        <v>285</v>
      </c>
      <c r="C286" s="22" t="s">
        <v>302</v>
      </c>
      <c r="D286" s="22" t="s">
        <v>236</v>
      </c>
      <c r="E286" s="22" t="s">
        <v>105</v>
      </c>
      <c r="F286" s="44" t="s">
        <v>796</v>
      </c>
      <c r="G286" s="44" t="s">
        <v>1046</v>
      </c>
    </row>
    <row r="287" spans="2:7" ht="14.25">
      <c r="B287" s="22">
        <v>286</v>
      </c>
      <c r="C287" s="22" t="s">
        <v>303</v>
      </c>
      <c r="D287" s="22" t="s">
        <v>304</v>
      </c>
      <c r="E287" s="22" t="s">
        <v>36</v>
      </c>
      <c r="F287" t="s">
        <v>796</v>
      </c>
      <c r="G287" s="44" t="s">
        <v>1048</v>
      </c>
    </row>
    <row r="288" spans="2:7" ht="14.25">
      <c r="B288" s="22">
        <v>287</v>
      </c>
      <c r="C288" s="22" t="s">
        <v>305</v>
      </c>
      <c r="D288" s="22" t="s">
        <v>304</v>
      </c>
      <c r="E288" s="22" t="s">
        <v>36</v>
      </c>
      <c r="F288" t="s">
        <v>796</v>
      </c>
      <c r="G288" s="44" t="s">
        <v>1047</v>
      </c>
    </row>
    <row r="289" spans="2:7" ht="14.25">
      <c r="B289" s="22">
        <v>288</v>
      </c>
      <c r="C289" s="22" t="s">
        <v>251</v>
      </c>
      <c r="D289" s="22" t="s">
        <v>304</v>
      </c>
      <c r="E289" s="22" t="s">
        <v>36</v>
      </c>
      <c r="F289" t="s">
        <v>797</v>
      </c>
      <c r="G289" s="44" t="s">
        <v>1001</v>
      </c>
    </row>
    <row r="290" spans="2:7" ht="14.25">
      <c r="B290" s="22">
        <v>289</v>
      </c>
      <c r="C290" s="22" t="s">
        <v>250</v>
      </c>
      <c r="D290" s="22" t="s">
        <v>304</v>
      </c>
      <c r="E290" s="22" t="s">
        <v>36</v>
      </c>
      <c r="F290" t="s">
        <v>796</v>
      </c>
      <c r="G290" s="44" t="s">
        <v>1000</v>
      </c>
    </row>
    <row r="291" spans="2:7" ht="14.25">
      <c r="B291" s="22">
        <v>290</v>
      </c>
      <c r="C291" s="22" t="s">
        <v>306</v>
      </c>
      <c r="D291" s="22" t="s">
        <v>304</v>
      </c>
      <c r="E291" s="22" t="s">
        <v>36</v>
      </c>
      <c r="F291" t="s">
        <v>797</v>
      </c>
      <c r="G291" s="44" t="s">
        <v>1049</v>
      </c>
    </row>
    <row r="292" spans="2:7" ht="14.25">
      <c r="B292" s="22">
        <v>291</v>
      </c>
      <c r="C292" s="22" t="s">
        <v>307</v>
      </c>
      <c r="D292" s="22" t="s">
        <v>304</v>
      </c>
      <c r="E292" s="22" t="s">
        <v>36</v>
      </c>
      <c r="F292" t="s">
        <v>796</v>
      </c>
      <c r="G292" s="44" t="s">
        <v>1050</v>
      </c>
    </row>
    <row r="293" spans="2:7" ht="14.25">
      <c r="B293" s="22">
        <v>292</v>
      </c>
      <c r="C293" s="22" t="s">
        <v>308</v>
      </c>
      <c r="D293" s="22" t="s">
        <v>304</v>
      </c>
      <c r="E293" s="22" t="s">
        <v>36</v>
      </c>
      <c r="F293" t="s">
        <v>796</v>
      </c>
      <c r="G293" s="44" t="s">
        <v>1051</v>
      </c>
    </row>
    <row r="294" spans="2:7" ht="14.25">
      <c r="B294" s="22">
        <v>293</v>
      </c>
      <c r="C294" s="22" t="s">
        <v>309</v>
      </c>
      <c r="D294" s="22" t="s">
        <v>304</v>
      </c>
      <c r="E294" s="22" t="s">
        <v>36</v>
      </c>
      <c r="F294" t="s">
        <v>796</v>
      </c>
      <c r="G294" s="44" t="s">
        <v>1052</v>
      </c>
    </row>
    <row r="295" spans="2:7" ht="14.25">
      <c r="B295" s="22">
        <v>294</v>
      </c>
      <c r="C295" s="22" t="s">
        <v>310</v>
      </c>
      <c r="D295" s="22" t="s">
        <v>304</v>
      </c>
      <c r="E295" s="22" t="s">
        <v>36</v>
      </c>
      <c r="F295" t="s">
        <v>796</v>
      </c>
      <c r="G295" s="44" t="s">
        <v>1053</v>
      </c>
    </row>
    <row r="296" spans="2:7" ht="14.25">
      <c r="B296" s="22">
        <v>295</v>
      </c>
      <c r="C296" s="22" t="s">
        <v>65</v>
      </c>
      <c r="D296" s="22" t="s">
        <v>304</v>
      </c>
      <c r="E296" s="22" t="s">
        <v>36</v>
      </c>
      <c r="F296" t="s">
        <v>796</v>
      </c>
      <c r="G296" s="44" t="s">
        <v>1054</v>
      </c>
    </row>
    <row r="297" spans="2:7" ht="14.25">
      <c r="B297" s="22">
        <v>296</v>
      </c>
      <c r="C297" s="22" t="s">
        <v>311</v>
      </c>
      <c r="D297" s="22" t="s">
        <v>304</v>
      </c>
      <c r="E297" s="22" t="s">
        <v>36</v>
      </c>
      <c r="F297" t="s">
        <v>797</v>
      </c>
      <c r="G297" s="44" t="s">
        <v>1055</v>
      </c>
    </row>
    <row r="298" spans="2:7" ht="14.25">
      <c r="B298" s="22">
        <v>297</v>
      </c>
      <c r="C298" s="22" t="s">
        <v>312</v>
      </c>
      <c r="D298" s="22" t="s">
        <v>304</v>
      </c>
      <c r="E298" s="22" t="s">
        <v>36</v>
      </c>
      <c r="F298" t="s">
        <v>796</v>
      </c>
      <c r="G298" s="44" t="s">
        <v>1056</v>
      </c>
    </row>
    <row r="299" spans="2:7" ht="14.25">
      <c r="B299" s="22">
        <v>298</v>
      </c>
      <c r="C299" s="22" t="s">
        <v>203</v>
      </c>
      <c r="D299" s="22" t="s">
        <v>304</v>
      </c>
      <c r="E299" s="22" t="s">
        <v>36</v>
      </c>
      <c r="F299" t="s">
        <v>796</v>
      </c>
      <c r="G299" s="44" t="s">
        <v>954</v>
      </c>
    </row>
    <row r="300" spans="2:7" ht="14.25">
      <c r="B300" s="22">
        <v>299</v>
      </c>
      <c r="C300" s="22" t="s">
        <v>313</v>
      </c>
      <c r="D300" s="22" t="s">
        <v>304</v>
      </c>
      <c r="E300" s="22" t="s">
        <v>36</v>
      </c>
      <c r="F300" t="s">
        <v>796</v>
      </c>
      <c r="G300" s="44" t="s">
        <v>1057</v>
      </c>
    </row>
    <row r="301" spans="2:7" ht="14.25">
      <c r="B301" s="22">
        <v>300</v>
      </c>
      <c r="C301" s="22" t="s">
        <v>314</v>
      </c>
      <c r="D301" s="22" t="s">
        <v>304</v>
      </c>
      <c r="E301" s="22" t="s">
        <v>36</v>
      </c>
      <c r="F301" t="s">
        <v>797</v>
      </c>
      <c r="G301" s="44" t="s">
        <v>1059</v>
      </c>
    </row>
    <row r="302" spans="2:7" ht="14.25">
      <c r="B302" s="22">
        <v>301</v>
      </c>
      <c r="C302" s="22" t="s">
        <v>315</v>
      </c>
      <c r="D302" s="22" t="s">
        <v>304</v>
      </c>
      <c r="E302" s="22" t="s">
        <v>36</v>
      </c>
      <c r="F302" t="s">
        <v>798</v>
      </c>
      <c r="G302" s="44" t="s">
        <v>1059</v>
      </c>
    </row>
    <row r="303" spans="2:7" ht="14.25">
      <c r="B303" s="22">
        <v>302</v>
      </c>
      <c r="C303" s="22" t="s">
        <v>316</v>
      </c>
      <c r="D303" s="22" t="s">
        <v>304</v>
      </c>
      <c r="E303" s="22" t="s">
        <v>36</v>
      </c>
      <c r="F303" t="s">
        <v>796</v>
      </c>
      <c r="G303" s="44" t="s">
        <v>1060</v>
      </c>
    </row>
    <row r="304" spans="2:7" ht="14.25">
      <c r="B304" s="22">
        <v>303</v>
      </c>
      <c r="C304" s="22" t="s">
        <v>317</v>
      </c>
      <c r="D304" s="22" t="s">
        <v>304</v>
      </c>
      <c r="E304" s="22" t="s">
        <v>36</v>
      </c>
      <c r="F304" t="s">
        <v>796</v>
      </c>
      <c r="G304" s="44" t="s">
        <v>1061</v>
      </c>
    </row>
    <row r="305" spans="2:7" ht="14.25">
      <c r="B305" s="22">
        <v>304</v>
      </c>
      <c r="C305" s="22" t="s">
        <v>318</v>
      </c>
      <c r="D305" s="22" t="s">
        <v>304</v>
      </c>
      <c r="E305" s="22" t="s">
        <v>36</v>
      </c>
      <c r="F305" t="s">
        <v>797</v>
      </c>
      <c r="G305" s="44" t="s">
        <v>1062</v>
      </c>
    </row>
    <row r="306" spans="2:7" ht="14.25">
      <c r="B306" s="22">
        <v>305</v>
      </c>
      <c r="C306" s="22" t="s">
        <v>319</v>
      </c>
      <c r="D306" s="22" t="s">
        <v>304</v>
      </c>
      <c r="E306" s="22" t="s">
        <v>36</v>
      </c>
      <c r="F306" t="s">
        <v>798</v>
      </c>
      <c r="G306" s="44" t="s">
        <v>1063</v>
      </c>
    </row>
    <row r="307" spans="2:7" ht="14.25">
      <c r="B307" s="22">
        <v>306</v>
      </c>
      <c r="C307" s="22" t="s">
        <v>320</v>
      </c>
      <c r="D307" s="22" t="s">
        <v>304</v>
      </c>
      <c r="E307" s="22" t="s">
        <v>60</v>
      </c>
      <c r="F307" t="s">
        <v>797</v>
      </c>
      <c r="G307" s="44" t="s">
        <v>1064</v>
      </c>
    </row>
    <row r="308" spans="2:7" ht="14.25">
      <c r="B308" s="22">
        <v>307</v>
      </c>
      <c r="C308" s="22" t="s">
        <v>321</v>
      </c>
      <c r="D308" s="22" t="s">
        <v>304</v>
      </c>
      <c r="E308" s="22" t="s">
        <v>60</v>
      </c>
      <c r="F308" t="s">
        <v>796</v>
      </c>
      <c r="G308" s="44" t="s">
        <v>1065</v>
      </c>
    </row>
    <row r="309" spans="2:7" ht="14.25">
      <c r="B309" s="22">
        <v>308</v>
      </c>
      <c r="C309" s="22" t="s">
        <v>322</v>
      </c>
      <c r="D309" s="22" t="s">
        <v>304</v>
      </c>
      <c r="E309" s="22" t="s">
        <v>60</v>
      </c>
      <c r="F309" t="s">
        <v>798</v>
      </c>
      <c r="G309" s="44" t="s">
        <v>1066</v>
      </c>
    </row>
    <row r="310" spans="2:7" ht="14.25">
      <c r="B310" s="22">
        <v>309</v>
      </c>
      <c r="C310" s="22" t="s">
        <v>323</v>
      </c>
      <c r="D310" s="22" t="s">
        <v>304</v>
      </c>
      <c r="E310" s="22" t="s">
        <v>60</v>
      </c>
      <c r="F310" t="s">
        <v>796</v>
      </c>
      <c r="G310" s="44" t="s">
        <v>1067</v>
      </c>
    </row>
    <row r="311" spans="2:7" ht="14.25">
      <c r="B311" s="22">
        <v>310</v>
      </c>
      <c r="C311" s="22" t="s">
        <v>324</v>
      </c>
      <c r="D311" s="22" t="s">
        <v>304</v>
      </c>
      <c r="E311" s="22" t="s">
        <v>60</v>
      </c>
      <c r="F311" t="s">
        <v>798</v>
      </c>
      <c r="G311" s="44" t="s">
        <v>1068</v>
      </c>
    </row>
    <row r="312" spans="2:7" ht="14.25">
      <c r="B312" s="22">
        <v>311</v>
      </c>
      <c r="C312" s="22" t="s">
        <v>325</v>
      </c>
      <c r="D312" s="22" t="s">
        <v>304</v>
      </c>
      <c r="E312" s="22" t="s">
        <v>60</v>
      </c>
      <c r="F312" t="s">
        <v>798</v>
      </c>
    </row>
    <row r="313" spans="2:7" ht="14.25">
      <c r="B313" s="22">
        <v>312</v>
      </c>
      <c r="C313" s="22" t="s">
        <v>326</v>
      </c>
      <c r="D313" s="22" t="s">
        <v>304</v>
      </c>
      <c r="E313" s="22" t="s">
        <v>60</v>
      </c>
      <c r="F313" t="s">
        <v>798</v>
      </c>
      <c r="G313" t="s">
        <v>1069</v>
      </c>
    </row>
    <row r="314" spans="2:7" ht="14.25">
      <c r="B314" s="22">
        <v>313</v>
      </c>
      <c r="C314" s="22" t="s">
        <v>327</v>
      </c>
      <c r="D314" s="22" t="s">
        <v>304</v>
      </c>
      <c r="E314" s="22" t="s">
        <v>60</v>
      </c>
      <c r="F314" t="s">
        <v>798</v>
      </c>
      <c r="G314" t="s">
        <v>1070</v>
      </c>
    </row>
    <row r="315" spans="2:7" ht="14.25">
      <c r="B315" s="22">
        <v>314</v>
      </c>
      <c r="C315" s="22" t="s">
        <v>328</v>
      </c>
      <c r="D315" s="22" t="s">
        <v>304</v>
      </c>
      <c r="E315" s="22" t="s">
        <v>60</v>
      </c>
      <c r="F315" t="s">
        <v>796</v>
      </c>
      <c r="G315" t="s">
        <v>1071</v>
      </c>
    </row>
    <row r="316" spans="2:7" ht="14.25">
      <c r="B316" s="22">
        <v>315</v>
      </c>
      <c r="C316" s="22" t="s">
        <v>329</v>
      </c>
      <c r="D316" s="22" t="s">
        <v>304</v>
      </c>
      <c r="E316" s="22" t="s">
        <v>60</v>
      </c>
      <c r="F316" t="s">
        <v>796</v>
      </c>
      <c r="G316" t="s">
        <v>1072</v>
      </c>
    </row>
    <row r="317" spans="2:7" ht="14.25">
      <c r="B317" s="22">
        <v>316</v>
      </c>
      <c r="C317" s="22" t="s">
        <v>330</v>
      </c>
      <c r="D317" s="22" t="s">
        <v>304</v>
      </c>
      <c r="E317" s="22" t="s">
        <v>60</v>
      </c>
      <c r="F317" t="s">
        <v>796</v>
      </c>
      <c r="G317" t="s">
        <v>1073</v>
      </c>
    </row>
    <row r="318" spans="2:7" ht="14.25">
      <c r="B318" s="22">
        <v>317</v>
      </c>
      <c r="C318" s="22" t="s">
        <v>331</v>
      </c>
      <c r="D318" s="22" t="s">
        <v>304</v>
      </c>
      <c r="E318" s="22" t="s">
        <v>60</v>
      </c>
      <c r="F318" t="s">
        <v>796</v>
      </c>
      <c r="G318" t="s">
        <v>1074</v>
      </c>
    </row>
    <row r="319" spans="2:7" ht="14.25">
      <c r="B319" s="22">
        <v>318</v>
      </c>
      <c r="C319" s="22" t="s">
        <v>332</v>
      </c>
      <c r="D319" s="22" t="s">
        <v>304</v>
      </c>
      <c r="E319" s="22" t="s">
        <v>60</v>
      </c>
      <c r="F319" t="s">
        <v>798</v>
      </c>
      <c r="G319" t="s">
        <v>1075</v>
      </c>
    </row>
    <row r="320" spans="2:7" ht="14.25">
      <c r="B320" s="22">
        <v>319</v>
      </c>
      <c r="C320" s="22" t="s">
        <v>333</v>
      </c>
      <c r="D320" s="22" t="s">
        <v>304</v>
      </c>
      <c r="E320" s="22" t="s">
        <v>60</v>
      </c>
      <c r="F320" t="s">
        <v>796</v>
      </c>
      <c r="G320" t="s">
        <v>1076</v>
      </c>
    </row>
    <row r="321" spans="2:7" ht="14.25">
      <c r="B321" s="22">
        <v>320</v>
      </c>
      <c r="C321" s="22" t="s">
        <v>334</v>
      </c>
      <c r="D321" s="22" t="s">
        <v>304</v>
      </c>
      <c r="E321" s="22" t="s">
        <v>60</v>
      </c>
      <c r="F321" t="s">
        <v>797</v>
      </c>
      <c r="G321" t="s">
        <v>1077</v>
      </c>
    </row>
    <row r="322" spans="2:7" ht="14.25">
      <c r="B322" s="22">
        <v>321</v>
      </c>
      <c r="C322" s="22" t="s">
        <v>335</v>
      </c>
      <c r="D322" s="22" t="s">
        <v>304</v>
      </c>
      <c r="E322" s="22" t="s">
        <v>60</v>
      </c>
      <c r="F322" t="s">
        <v>796</v>
      </c>
      <c r="G322" t="s">
        <v>1078</v>
      </c>
    </row>
    <row r="323" spans="2:7" ht="14.25">
      <c r="B323" s="22">
        <v>322</v>
      </c>
      <c r="C323" s="22" t="s">
        <v>336</v>
      </c>
      <c r="D323" s="22" t="s">
        <v>304</v>
      </c>
      <c r="E323" s="22" t="s">
        <v>60</v>
      </c>
      <c r="F323" t="s">
        <v>797</v>
      </c>
      <c r="G323" t="s">
        <v>1079</v>
      </c>
    </row>
    <row r="324" spans="2:7" ht="14.25">
      <c r="B324" s="22">
        <v>323</v>
      </c>
      <c r="C324" s="22" t="s">
        <v>337</v>
      </c>
      <c r="D324" s="22" t="s">
        <v>304</v>
      </c>
      <c r="E324" s="22" t="s">
        <v>60</v>
      </c>
      <c r="F324" t="s">
        <v>796</v>
      </c>
      <c r="G324" t="s">
        <v>1080</v>
      </c>
    </row>
    <row r="325" spans="2:7" ht="14.25">
      <c r="B325" s="22">
        <v>324</v>
      </c>
      <c r="C325" s="22" t="s">
        <v>338</v>
      </c>
      <c r="D325" s="22" t="s">
        <v>304</v>
      </c>
      <c r="E325" s="22" t="s">
        <v>60</v>
      </c>
      <c r="F325" t="s">
        <v>796</v>
      </c>
      <c r="G325" t="s">
        <v>1081</v>
      </c>
    </row>
    <row r="326" spans="2:7" ht="14.25">
      <c r="B326" s="22">
        <v>325</v>
      </c>
      <c r="C326" s="22" t="s">
        <v>339</v>
      </c>
      <c r="D326" s="22" t="s">
        <v>304</v>
      </c>
      <c r="E326" s="22" t="s">
        <v>60</v>
      </c>
      <c r="F326" t="s">
        <v>797</v>
      </c>
      <c r="G326" t="s">
        <v>1082</v>
      </c>
    </row>
    <row r="327" spans="2:7" ht="14.25">
      <c r="B327" s="22">
        <v>326</v>
      </c>
      <c r="C327" s="22" t="s">
        <v>340</v>
      </c>
      <c r="D327" s="22" t="s">
        <v>304</v>
      </c>
      <c r="E327" s="22" t="s">
        <v>60</v>
      </c>
      <c r="F327" t="s">
        <v>798</v>
      </c>
    </row>
    <row r="328" spans="2:7" ht="14.25">
      <c r="B328" s="22">
        <v>327</v>
      </c>
      <c r="C328" s="22" t="s">
        <v>341</v>
      </c>
      <c r="D328" s="22" t="s">
        <v>304</v>
      </c>
      <c r="E328" s="22" t="s">
        <v>60</v>
      </c>
      <c r="F328" t="s">
        <v>796</v>
      </c>
      <c r="G328" t="s">
        <v>1083</v>
      </c>
    </row>
    <row r="329" spans="2:7" ht="14.25">
      <c r="B329" s="22">
        <v>328</v>
      </c>
      <c r="C329" s="22" t="s">
        <v>264</v>
      </c>
      <c r="D329" s="22" t="s">
        <v>304</v>
      </c>
      <c r="E329" s="22" t="s">
        <v>60</v>
      </c>
      <c r="F329" t="s">
        <v>797</v>
      </c>
      <c r="G329" t="s">
        <v>1084</v>
      </c>
    </row>
    <row r="330" spans="2:7" ht="14.25">
      <c r="B330" s="22">
        <v>329</v>
      </c>
      <c r="C330" s="22" t="s">
        <v>342</v>
      </c>
      <c r="D330" s="22" t="s">
        <v>304</v>
      </c>
      <c r="E330" s="22" t="s">
        <v>60</v>
      </c>
      <c r="F330" t="s">
        <v>796</v>
      </c>
      <c r="G330" t="s">
        <v>1085</v>
      </c>
    </row>
    <row r="331" spans="2:7" ht="14.25">
      <c r="B331" s="22">
        <v>330</v>
      </c>
      <c r="C331" s="22" t="s">
        <v>343</v>
      </c>
      <c r="D331" s="22" t="s">
        <v>304</v>
      </c>
      <c r="E331" s="22" t="s">
        <v>60</v>
      </c>
      <c r="F331" t="s">
        <v>798</v>
      </c>
      <c r="G331" t="s">
        <v>1086</v>
      </c>
    </row>
    <row r="332" spans="2:7" ht="14.25">
      <c r="B332" s="22">
        <v>331</v>
      </c>
      <c r="C332" s="22" t="s">
        <v>344</v>
      </c>
      <c r="D332" s="22" t="s">
        <v>304</v>
      </c>
      <c r="E332" s="22" t="s">
        <v>84</v>
      </c>
      <c r="F332" s="44" t="s">
        <v>797</v>
      </c>
      <c r="G332" s="44" t="s">
        <v>1087</v>
      </c>
    </row>
    <row r="333" spans="2:7" ht="14.25">
      <c r="B333" s="22">
        <v>332</v>
      </c>
      <c r="C333" s="22" t="s">
        <v>345</v>
      </c>
      <c r="D333" s="22" t="s">
        <v>304</v>
      </c>
      <c r="E333" s="22" t="s">
        <v>84</v>
      </c>
      <c r="F333" s="44" t="s">
        <v>796</v>
      </c>
      <c r="G333" s="44" t="s">
        <v>1088</v>
      </c>
    </row>
    <row r="334" spans="2:7" ht="14.25">
      <c r="B334" s="22">
        <v>333</v>
      </c>
      <c r="C334" s="22" t="s">
        <v>346</v>
      </c>
      <c r="D334" s="22" t="s">
        <v>304</v>
      </c>
      <c r="E334" s="22" t="s">
        <v>84</v>
      </c>
      <c r="F334" s="44" t="s">
        <v>796</v>
      </c>
      <c r="G334" s="44" t="s">
        <v>1089</v>
      </c>
    </row>
    <row r="335" spans="2:7" ht="14.25">
      <c r="B335" s="22">
        <v>334</v>
      </c>
      <c r="C335" s="22" t="s">
        <v>347</v>
      </c>
      <c r="D335" s="22" t="s">
        <v>304</v>
      </c>
      <c r="E335" s="22" t="s">
        <v>84</v>
      </c>
      <c r="F335" s="44" t="s">
        <v>796</v>
      </c>
      <c r="G335" s="44" t="s">
        <v>1090</v>
      </c>
    </row>
    <row r="336" spans="2:7" ht="14.25">
      <c r="B336" s="22">
        <v>335</v>
      </c>
      <c r="C336" s="22" t="s">
        <v>348</v>
      </c>
      <c r="D336" s="22" t="s">
        <v>304</v>
      </c>
      <c r="E336" s="22" t="s">
        <v>84</v>
      </c>
      <c r="F336" s="44" t="s">
        <v>796</v>
      </c>
      <c r="G336" s="44" t="s">
        <v>1091</v>
      </c>
    </row>
    <row r="337" spans="2:7" ht="14.25">
      <c r="B337" s="22">
        <v>336</v>
      </c>
      <c r="C337" s="22" t="s">
        <v>349</v>
      </c>
      <c r="D337" s="22" t="s">
        <v>304</v>
      </c>
      <c r="E337" s="22" t="s">
        <v>84</v>
      </c>
      <c r="F337" s="44" t="s">
        <v>796</v>
      </c>
      <c r="G337" s="44" t="s">
        <v>1092</v>
      </c>
    </row>
    <row r="338" spans="2:7" ht="14.25">
      <c r="B338" s="22">
        <v>337</v>
      </c>
      <c r="C338" s="22" t="s">
        <v>350</v>
      </c>
      <c r="D338" s="22" t="s">
        <v>304</v>
      </c>
      <c r="E338" s="22" t="s">
        <v>84</v>
      </c>
      <c r="F338" s="44" t="s">
        <v>796</v>
      </c>
      <c r="G338" s="44" t="s">
        <v>1055</v>
      </c>
    </row>
    <row r="339" spans="2:7" ht="14.25">
      <c r="B339" s="22">
        <v>338</v>
      </c>
      <c r="C339" s="22" t="s">
        <v>351</v>
      </c>
      <c r="D339" s="22" t="s">
        <v>304</v>
      </c>
      <c r="E339" s="22" t="s">
        <v>84</v>
      </c>
      <c r="F339" s="44" t="s">
        <v>798</v>
      </c>
      <c r="G339" s="44" t="s">
        <v>1093</v>
      </c>
    </row>
    <row r="340" spans="2:7" ht="14.25">
      <c r="B340" s="22">
        <v>339</v>
      </c>
      <c r="C340" s="22" t="s">
        <v>352</v>
      </c>
      <c r="D340" s="22" t="s">
        <v>304</v>
      </c>
      <c r="E340" s="22" t="s">
        <v>84</v>
      </c>
      <c r="F340" s="44" t="s">
        <v>796</v>
      </c>
      <c r="G340" s="44" t="s">
        <v>1094</v>
      </c>
    </row>
    <row r="341" spans="2:7" ht="14.25">
      <c r="B341" s="22">
        <v>340</v>
      </c>
      <c r="C341" s="22" t="s">
        <v>353</v>
      </c>
      <c r="D341" s="22" t="s">
        <v>304</v>
      </c>
      <c r="E341" s="22" t="s">
        <v>84</v>
      </c>
      <c r="F341" s="44" t="s">
        <v>796</v>
      </c>
      <c r="G341" s="44" t="s">
        <v>1095</v>
      </c>
    </row>
    <row r="342" spans="2:7" ht="14.25">
      <c r="B342" s="22">
        <v>341</v>
      </c>
      <c r="C342" s="22" t="s">
        <v>354</v>
      </c>
      <c r="D342" s="22" t="s">
        <v>304</v>
      </c>
      <c r="E342" s="22" t="s">
        <v>84</v>
      </c>
      <c r="F342" s="44" t="s">
        <v>798</v>
      </c>
      <c r="G342" s="44" t="s">
        <v>1096</v>
      </c>
    </row>
    <row r="343" spans="2:7" ht="14.25">
      <c r="B343" s="22">
        <v>342</v>
      </c>
      <c r="C343" s="22" t="s">
        <v>355</v>
      </c>
      <c r="D343" s="22" t="s">
        <v>304</v>
      </c>
      <c r="E343" s="22" t="s">
        <v>84</v>
      </c>
      <c r="F343" s="44" t="s">
        <v>798</v>
      </c>
      <c r="G343" s="44" t="s">
        <v>1097</v>
      </c>
    </row>
    <row r="344" spans="2:7" ht="14.25">
      <c r="B344" s="22">
        <v>343</v>
      </c>
      <c r="C344" s="22" t="s">
        <v>356</v>
      </c>
      <c r="D344" s="22" t="s">
        <v>304</v>
      </c>
      <c r="E344" s="22" t="s">
        <v>84</v>
      </c>
      <c r="F344" s="44" t="s">
        <v>798</v>
      </c>
    </row>
    <row r="345" spans="2:7" ht="14.25">
      <c r="B345" s="22">
        <v>344</v>
      </c>
      <c r="C345" s="22" t="s">
        <v>357</v>
      </c>
      <c r="D345" s="22" t="s">
        <v>304</v>
      </c>
      <c r="E345" s="22" t="s">
        <v>84</v>
      </c>
      <c r="F345" s="44" t="s">
        <v>798</v>
      </c>
    </row>
    <row r="346" spans="2:7" ht="14.25">
      <c r="B346" s="22">
        <v>345</v>
      </c>
      <c r="C346" s="22" t="s">
        <v>358</v>
      </c>
      <c r="D346" s="22" t="s">
        <v>304</v>
      </c>
      <c r="E346" s="22" t="s">
        <v>105</v>
      </c>
      <c r="F346" s="44" t="s">
        <v>798</v>
      </c>
    </row>
    <row r="347" spans="2:7" ht="14.25">
      <c r="B347" s="22">
        <v>346</v>
      </c>
      <c r="C347" s="22" t="s">
        <v>359</v>
      </c>
      <c r="D347" s="22" t="s">
        <v>304</v>
      </c>
      <c r="E347" s="22" t="s">
        <v>105</v>
      </c>
      <c r="F347" s="44" t="s">
        <v>797</v>
      </c>
      <c r="G347" s="44" t="s">
        <v>1098</v>
      </c>
    </row>
    <row r="348" spans="2:7" ht="14.25">
      <c r="B348" s="22">
        <v>347</v>
      </c>
      <c r="C348" s="22" t="s">
        <v>360</v>
      </c>
      <c r="D348" s="22" t="s">
        <v>304</v>
      </c>
      <c r="E348" s="22" t="s">
        <v>105</v>
      </c>
      <c r="F348" s="44" t="s">
        <v>796</v>
      </c>
      <c r="G348" s="44" t="s">
        <v>1099</v>
      </c>
    </row>
    <row r="349" spans="2:7" ht="14.25">
      <c r="B349" s="22">
        <v>348</v>
      </c>
      <c r="C349" s="22" t="s">
        <v>361</v>
      </c>
      <c r="D349" s="22" t="s">
        <v>304</v>
      </c>
      <c r="E349" s="22" t="s">
        <v>105</v>
      </c>
      <c r="F349" s="44" t="s">
        <v>797</v>
      </c>
      <c r="G349" s="44" t="s">
        <v>1100</v>
      </c>
    </row>
    <row r="350" spans="2:7" ht="14.25">
      <c r="B350" s="22">
        <v>349</v>
      </c>
      <c r="C350" s="22" t="s">
        <v>362</v>
      </c>
      <c r="D350" s="22" t="s">
        <v>304</v>
      </c>
      <c r="E350" s="22" t="s">
        <v>105</v>
      </c>
      <c r="F350" s="44" t="s">
        <v>797</v>
      </c>
      <c r="G350" s="44" t="s">
        <v>1101</v>
      </c>
    </row>
    <row r="351" spans="2:7" ht="14.25">
      <c r="B351" s="22">
        <v>350</v>
      </c>
      <c r="C351" s="22" t="s">
        <v>271</v>
      </c>
      <c r="D351" s="22" t="s">
        <v>363</v>
      </c>
      <c r="E351" s="22" t="s">
        <v>36</v>
      </c>
      <c r="F351" t="s">
        <v>796</v>
      </c>
      <c r="G351" s="44" t="s">
        <v>1020</v>
      </c>
    </row>
    <row r="352" spans="2:7" ht="14.25">
      <c r="B352" s="22">
        <v>351</v>
      </c>
      <c r="C352" s="22" t="s">
        <v>364</v>
      </c>
      <c r="D352" s="22" t="s">
        <v>363</v>
      </c>
      <c r="E352" s="22" t="s">
        <v>36</v>
      </c>
      <c r="F352" t="s">
        <v>796</v>
      </c>
      <c r="G352" s="44" t="s">
        <v>1102</v>
      </c>
    </row>
    <row r="353" spans="2:7" ht="14.25">
      <c r="B353" s="22">
        <v>352</v>
      </c>
      <c r="C353" s="22" t="s">
        <v>365</v>
      </c>
      <c r="D353" s="22" t="s">
        <v>363</v>
      </c>
      <c r="E353" s="22" t="s">
        <v>36</v>
      </c>
      <c r="F353" t="s">
        <v>796</v>
      </c>
      <c r="G353" s="44" t="s">
        <v>1103</v>
      </c>
    </row>
    <row r="354" spans="2:7" ht="14.25">
      <c r="B354" s="22">
        <v>353</v>
      </c>
      <c r="C354" s="22" t="s">
        <v>273</v>
      </c>
      <c r="D354" s="22" t="s">
        <v>363</v>
      </c>
      <c r="E354" s="22" t="s">
        <v>36</v>
      </c>
      <c r="F354" t="s">
        <v>796</v>
      </c>
      <c r="G354" s="44" t="s">
        <v>1022</v>
      </c>
    </row>
    <row r="355" spans="2:7" ht="14.25">
      <c r="B355" s="22">
        <v>354</v>
      </c>
      <c r="C355" s="22" t="s">
        <v>366</v>
      </c>
      <c r="D355" s="22" t="s">
        <v>363</v>
      </c>
      <c r="E355" s="22" t="s">
        <v>36</v>
      </c>
      <c r="F355" t="s">
        <v>797</v>
      </c>
      <c r="G355" s="44" t="s">
        <v>1104</v>
      </c>
    </row>
    <row r="356" spans="2:7" ht="14.25">
      <c r="B356" s="22">
        <v>355</v>
      </c>
      <c r="C356" s="22" t="s">
        <v>246</v>
      </c>
      <c r="D356" s="22" t="s">
        <v>363</v>
      </c>
      <c r="E356" s="22" t="s">
        <v>36</v>
      </c>
      <c r="F356" t="s">
        <v>797</v>
      </c>
      <c r="G356" s="44" t="s">
        <v>1105</v>
      </c>
    </row>
    <row r="357" spans="2:7" ht="14.25">
      <c r="B357" s="22">
        <v>356</v>
      </c>
      <c r="C357" s="22" t="s">
        <v>245</v>
      </c>
      <c r="D357" s="22" t="s">
        <v>363</v>
      </c>
      <c r="E357" s="22" t="s">
        <v>36</v>
      </c>
      <c r="F357" t="s">
        <v>796</v>
      </c>
      <c r="G357" s="44" t="s">
        <v>993</v>
      </c>
    </row>
    <row r="358" spans="2:7" ht="14.25">
      <c r="B358" s="22">
        <v>357</v>
      </c>
      <c r="C358" s="22" t="s">
        <v>324</v>
      </c>
      <c r="D358" s="22" t="s">
        <v>363</v>
      </c>
      <c r="E358" s="22" t="s">
        <v>36</v>
      </c>
      <c r="F358" t="s">
        <v>797</v>
      </c>
      <c r="G358" s="44" t="s">
        <v>1106</v>
      </c>
    </row>
    <row r="359" spans="2:7" ht="14.25">
      <c r="B359" s="22">
        <v>358</v>
      </c>
      <c r="C359" s="22" t="s">
        <v>367</v>
      </c>
      <c r="D359" s="22" t="s">
        <v>363</v>
      </c>
      <c r="E359" s="22" t="s">
        <v>36</v>
      </c>
      <c r="F359" t="s">
        <v>798</v>
      </c>
      <c r="G359" s="44"/>
    </row>
    <row r="360" spans="2:7" ht="14.25">
      <c r="B360" s="22">
        <v>359</v>
      </c>
      <c r="C360" s="22" t="s">
        <v>368</v>
      </c>
      <c r="D360" s="22" t="s">
        <v>363</v>
      </c>
      <c r="E360" s="22" t="s">
        <v>36</v>
      </c>
      <c r="F360" t="s">
        <v>798</v>
      </c>
      <c r="G360" s="44"/>
    </row>
    <row r="361" spans="2:7" ht="14.25">
      <c r="B361" s="22">
        <v>360</v>
      </c>
      <c r="C361" s="22" t="s">
        <v>369</v>
      </c>
      <c r="D361" s="22" t="s">
        <v>363</v>
      </c>
      <c r="E361" s="22" t="s">
        <v>36</v>
      </c>
      <c r="F361" t="s">
        <v>796</v>
      </c>
      <c r="G361" s="44" t="s">
        <v>1107</v>
      </c>
    </row>
    <row r="362" spans="2:7" ht="14.25">
      <c r="B362" s="22">
        <v>361</v>
      </c>
      <c r="C362" s="22" t="s">
        <v>370</v>
      </c>
      <c r="D362" s="22" t="s">
        <v>363</v>
      </c>
      <c r="E362" s="22" t="s">
        <v>36</v>
      </c>
      <c r="F362" t="s">
        <v>796</v>
      </c>
      <c r="G362" s="44" t="s">
        <v>1108</v>
      </c>
    </row>
    <row r="363" spans="2:7" ht="14.25">
      <c r="B363" s="22">
        <v>362</v>
      </c>
      <c r="C363" s="22" t="s">
        <v>371</v>
      </c>
      <c r="D363" s="22" t="s">
        <v>363</v>
      </c>
      <c r="E363" s="22" t="s">
        <v>36</v>
      </c>
      <c r="F363" t="s">
        <v>796</v>
      </c>
      <c r="G363" s="44" t="s">
        <v>1109</v>
      </c>
    </row>
    <row r="364" spans="2:7" ht="14.25">
      <c r="B364" s="22">
        <v>363</v>
      </c>
      <c r="C364" s="22" t="s">
        <v>184</v>
      </c>
      <c r="D364" s="22" t="s">
        <v>363</v>
      </c>
      <c r="E364" s="22" t="s">
        <v>36</v>
      </c>
      <c r="F364" t="s">
        <v>796</v>
      </c>
      <c r="G364" s="44" t="s">
        <v>935</v>
      </c>
    </row>
    <row r="365" spans="2:7" ht="14.25">
      <c r="B365" s="22">
        <v>364</v>
      </c>
      <c r="C365" s="22" t="s">
        <v>372</v>
      </c>
      <c r="D365" s="22" t="s">
        <v>363</v>
      </c>
      <c r="E365" s="22" t="s">
        <v>36</v>
      </c>
      <c r="F365" t="s">
        <v>797</v>
      </c>
      <c r="G365" s="44" t="s">
        <v>1110</v>
      </c>
    </row>
    <row r="366" spans="2:7" ht="14.25">
      <c r="B366" s="22">
        <v>365</v>
      </c>
      <c r="C366" s="22" t="s">
        <v>373</v>
      </c>
      <c r="D366" s="22" t="s">
        <v>363</v>
      </c>
      <c r="E366" s="22" t="s">
        <v>36</v>
      </c>
      <c r="F366" t="s">
        <v>796</v>
      </c>
      <c r="G366" s="44" t="s">
        <v>1111</v>
      </c>
    </row>
    <row r="367" spans="2:7" ht="14.25">
      <c r="B367" s="22">
        <v>366</v>
      </c>
      <c r="C367" s="22" t="s">
        <v>374</v>
      </c>
      <c r="D367" s="22" t="s">
        <v>363</v>
      </c>
      <c r="E367" s="22" t="s">
        <v>36</v>
      </c>
      <c r="F367" t="s">
        <v>798</v>
      </c>
      <c r="G367" s="44" t="s">
        <v>1112</v>
      </c>
    </row>
    <row r="368" spans="2:7" ht="14.25">
      <c r="B368" s="22">
        <v>367</v>
      </c>
      <c r="C368" s="22" t="s">
        <v>375</v>
      </c>
      <c r="D368" s="22" t="s">
        <v>363</v>
      </c>
      <c r="E368" s="22" t="s">
        <v>36</v>
      </c>
      <c r="F368" t="s">
        <v>798</v>
      </c>
      <c r="G368" s="44" t="s">
        <v>1112</v>
      </c>
    </row>
    <row r="369" spans="2:7" ht="14.25">
      <c r="B369" s="22">
        <v>368</v>
      </c>
      <c r="C369" s="22" t="s">
        <v>376</v>
      </c>
      <c r="D369" s="22" t="s">
        <v>363</v>
      </c>
      <c r="E369" s="22" t="s">
        <v>36</v>
      </c>
      <c r="F369" t="s">
        <v>797</v>
      </c>
      <c r="G369" s="44" t="s">
        <v>1113</v>
      </c>
    </row>
    <row r="370" spans="2:7" ht="14.25">
      <c r="B370" s="22">
        <v>369</v>
      </c>
      <c r="C370" s="22" t="s">
        <v>377</v>
      </c>
      <c r="D370" s="22" t="s">
        <v>363</v>
      </c>
      <c r="E370" s="22" t="s">
        <v>36</v>
      </c>
      <c r="F370" t="s">
        <v>796</v>
      </c>
      <c r="G370" s="44" t="s">
        <v>1114</v>
      </c>
    </row>
    <row r="371" spans="2:7" ht="14.25">
      <c r="B371" s="22">
        <v>370</v>
      </c>
      <c r="C371" s="22" t="s">
        <v>378</v>
      </c>
      <c r="D371" s="22" t="s">
        <v>363</v>
      </c>
      <c r="E371" s="22" t="s">
        <v>36</v>
      </c>
      <c r="F371" t="s">
        <v>796</v>
      </c>
      <c r="G371" s="44" t="s">
        <v>1115</v>
      </c>
    </row>
    <row r="372" spans="2:7" ht="14.25">
      <c r="B372" s="22">
        <v>371</v>
      </c>
      <c r="C372" s="22" t="s">
        <v>379</v>
      </c>
      <c r="D372" s="22" t="s">
        <v>363</v>
      </c>
      <c r="E372" s="22" t="s">
        <v>36</v>
      </c>
      <c r="F372" t="s">
        <v>796</v>
      </c>
      <c r="G372" s="44" t="s">
        <v>1116</v>
      </c>
    </row>
    <row r="373" spans="2:7" ht="14.25">
      <c r="B373" s="22">
        <v>372</v>
      </c>
      <c r="C373" s="22" t="s">
        <v>380</v>
      </c>
      <c r="D373" s="22" t="s">
        <v>363</v>
      </c>
      <c r="E373" s="22" t="s">
        <v>36</v>
      </c>
      <c r="F373" t="s">
        <v>796</v>
      </c>
      <c r="G373" s="44" t="s">
        <v>1117</v>
      </c>
    </row>
    <row r="374" spans="2:7" ht="14.25">
      <c r="B374" s="22">
        <v>373</v>
      </c>
      <c r="C374" s="22" t="s">
        <v>381</v>
      </c>
      <c r="D374" s="22" t="s">
        <v>363</v>
      </c>
      <c r="E374" s="22" t="s">
        <v>60</v>
      </c>
      <c r="F374" t="s">
        <v>796</v>
      </c>
      <c r="G374" s="44" t="s">
        <v>1118</v>
      </c>
    </row>
    <row r="375" spans="2:7" ht="14.25">
      <c r="B375" s="22">
        <v>374</v>
      </c>
      <c r="C375" s="22" t="s">
        <v>382</v>
      </c>
      <c r="D375" s="22" t="s">
        <v>363</v>
      </c>
      <c r="E375" s="22" t="s">
        <v>60</v>
      </c>
      <c r="F375" t="s">
        <v>796</v>
      </c>
      <c r="G375" s="44" t="s">
        <v>1119</v>
      </c>
    </row>
    <row r="376" spans="2:7" ht="14.25">
      <c r="B376" s="22">
        <v>375</v>
      </c>
      <c r="C376" s="22" t="s">
        <v>88</v>
      </c>
      <c r="D376" s="22" t="s">
        <v>363</v>
      </c>
      <c r="E376" s="22" t="s">
        <v>60</v>
      </c>
      <c r="F376" t="s">
        <v>796</v>
      </c>
      <c r="G376" s="44" t="s">
        <v>849</v>
      </c>
    </row>
    <row r="377" spans="2:7" ht="14.25">
      <c r="B377" s="22">
        <v>376</v>
      </c>
      <c r="C377" s="22" t="s">
        <v>383</v>
      </c>
      <c r="D377" s="22" t="s">
        <v>363</v>
      </c>
      <c r="E377" s="22" t="s">
        <v>60</v>
      </c>
      <c r="F377" t="s">
        <v>796</v>
      </c>
      <c r="G377" s="44" t="s">
        <v>1120</v>
      </c>
    </row>
    <row r="378" spans="2:7" ht="14.25">
      <c r="B378" s="22">
        <v>377</v>
      </c>
      <c r="C378" s="22" t="s">
        <v>384</v>
      </c>
      <c r="D378" s="22" t="s">
        <v>363</v>
      </c>
      <c r="E378" s="22" t="s">
        <v>60</v>
      </c>
      <c r="F378" t="s">
        <v>797</v>
      </c>
      <c r="G378" s="44" t="s">
        <v>1121</v>
      </c>
    </row>
    <row r="379" spans="2:7" ht="14.25">
      <c r="B379" s="22">
        <v>378</v>
      </c>
      <c r="C379" s="22" t="s">
        <v>385</v>
      </c>
      <c r="D379" s="22" t="s">
        <v>363</v>
      </c>
      <c r="E379" s="22" t="s">
        <v>60</v>
      </c>
      <c r="F379" t="s">
        <v>796</v>
      </c>
      <c r="G379" s="44" t="s">
        <v>1122</v>
      </c>
    </row>
    <row r="380" spans="2:7" ht="14.25">
      <c r="B380" s="22">
        <v>379</v>
      </c>
      <c r="C380" s="22" t="s">
        <v>386</v>
      </c>
      <c r="D380" s="22" t="s">
        <v>363</v>
      </c>
      <c r="E380" s="22" t="s">
        <v>60</v>
      </c>
      <c r="F380" t="s">
        <v>796</v>
      </c>
      <c r="G380" s="44" t="s">
        <v>1123</v>
      </c>
    </row>
    <row r="381" spans="2:7" ht="14.25">
      <c r="B381" s="22">
        <v>380</v>
      </c>
      <c r="C381" s="22" t="s">
        <v>114</v>
      </c>
      <c r="D381" s="22" t="s">
        <v>363</v>
      </c>
      <c r="E381" s="22" t="s">
        <v>60</v>
      </c>
      <c r="F381" t="s">
        <v>796</v>
      </c>
      <c r="G381" s="44" t="s">
        <v>869</v>
      </c>
    </row>
    <row r="382" spans="2:7" ht="14.25">
      <c r="B382" s="22">
        <v>381</v>
      </c>
      <c r="C382" s="22" t="s">
        <v>371</v>
      </c>
      <c r="D382" s="22" t="s">
        <v>363</v>
      </c>
      <c r="E382" s="22" t="s">
        <v>60</v>
      </c>
      <c r="F382" t="s">
        <v>796</v>
      </c>
      <c r="G382" s="44" t="s">
        <v>1109</v>
      </c>
    </row>
    <row r="383" spans="2:7" ht="14.25">
      <c r="B383" s="22">
        <v>382</v>
      </c>
      <c r="C383" s="22" t="s">
        <v>387</v>
      </c>
      <c r="D383" s="22" t="s">
        <v>363</v>
      </c>
      <c r="E383" s="22" t="s">
        <v>60</v>
      </c>
      <c r="F383" t="s">
        <v>797</v>
      </c>
      <c r="G383" s="44" t="s">
        <v>1124</v>
      </c>
    </row>
    <row r="384" spans="2:7" ht="14.25">
      <c r="B384" s="22">
        <v>383</v>
      </c>
      <c r="C384" s="22" t="s">
        <v>388</v>
      </c>
      <c r="D384" s="22" t="s">
        <v>363</v>
      </c>
      <c r="E384" s="22" t="s">
        <v>60</v>
      </c>
      <c r="F384" t="s">
        <v>797</v>
      </c>
      <c r="G384" s="44" t="s">
        <v>1125</v>
      </c>
    </row>
    <row r="385" spans="2:7" ht="14.25">
      <c r="B385" s="22">
        <v>384</v>
      </c>
      <c r="C385" s="22" t="s">
        <v>389</v>
      </c>
      <c r="D385" s="22" t="s">
        <v>363</v>
      </c>
      <c r="E385" s="22" t="s">
        <v>60</v>
      </c>
      <c r="F385" t="s">
        <v>797</v>
      </c>
      <c r="G385" s="44" t="s">
        <v>1126</v>
      </c>
    </row>
    <row r="386" spans="2:7" ht="14.25">
      <c r="B386" s="22">
        <v>385</v>
      </c>
      <c r="C386" s="22" t="s">
        <v>209</v>
      </c>
      <c r="D386" s="22" t="s">
        <v>363</v>
      </c>
      <c r="E386" s="22" t="s">
        <v>60</v>
      </c>
      <c r="F386" t="s">
        <v>797</v>
      </c>
      <c r="G386" s="22" t="s">
        <v>1127</v>
      </c>
    </row>
    <row r="387" spans="2:7" ht="14.25">
      <c r="B387" s="22">
        <v>386</v>
      </c>
      <c r="C387" s="22" t="s">
        <v>210</v>
      </c>
      <c r="D387" s="22" t="s">
        <v>363</v>
      </c>
      <c r="E387" s="22" t="s">
        <v>60</v>
      </c>
      <c r="F387" t="s">
        <v>797</v>
      </c>
      <c r="G387" s="22" t="s">
        <v>1128</v>
      </c>
    </row>
    <row r="388" spans="2:7" ht="14.25">
      <c r="B388" s="22">
        <v>387</v>
      </c>
      <c r="C388" s="22" t="s">
        <v>390</v>
      </c>
      <c r="D388" s="22" t="s">
        <v>363</v>
      </c>
      <c r="E388" s="22" t="s">
        <v>60</v>
      </c>
      <c r="F388" t="s">
        <v>796</v>
      </c>
      <c r="G388" s="44" t="s">
        <v>1129</v>
      </c>
    </row>
    <row r="389" spans="2:7" ht="14.25">
      <c r="B389" s="22">
        <v>388</v>
      </c>
      <c r="C389" s="22" t="s">
        <v>391</v>
      </c>
      <c r="D389" s="22" t="s">
        <v>363</v>
      </c>
      <c r="E389" s="22" t="s">
        <v>60</v>
      </c>
      <c r="F389" t="s">
        <v>798</v>
      </c>
    </row>
    <row r="390" spans="2:7" ht="14.25">
      <c r="B390" s="22">
        <v>389</v>
      </c>
      <c r="C390" s="22" t="s">
        <v>392</v>
      </c>
      <c r="D390" s="22" t="s">
        <v>363</v>
      </c>
      <c r="E390" s="22" t="s">
        <v>60</v>
      </c>
      <c r="F390" t="s">
        <v>798</v>
      </c>
    </row>
    <row r="391" spans="2:7" ht="14.25">
      <c r="B391" s="22">
        <v>390</v>
      </c>
      <c r="C391" s="22" t="s">
        <v>393</v>
      </c>
      <c r="D391" s="22" t="s">
        <v>363</v>
      </c>
      <c r="E391" s="22" t="s">
        <v>60</v>
      </c>
      <c r="F391" t="s">
        <v>796</v>
      </c>
      <c r="G391" t="s">
        <v>1130</v>
      </c>
    </row>
    <row r="392" spans="2:7" ht="14.25">
      <c r="B392" s="22">
        <v>391</v>
      </c>
      <c r="C392" s="22" t="s">
        <v>323</v>
      </c>
      <c r="D392" s="22" t="s">
        <v>363</v>
      </c>
      <c r="E392" s="22" t="s">
        <v>60</v>
      </c>
      <c r="F392" t="s">
        <v>796</v>
      </c>
      <c r="G392" t="s">
        <v>1067</v>
      </c>
    </row>
    <row r="393" spans="2:7" ht="14.25">
      <c r="B393" s="22">
        <v>392</v>
      </c>
      <c r="C393" s="22" t="s">
        <v>394</v>
      </c>
      <c r="D393" s="22" t="s">
        <v>363</v>
      </c>
      <c r="E393" s="22" t="s">
        <v>60</v>
      </c>
      <c r="F393" t="s">
        <v>796</v>
      </c>
      <c r="G393" t="s">
        <v>1133</v>
      </c>
    </row>
    <row r="394" spans="2:7" ht="14.25">
      <c r="B394" s="22">
        <v>393</v>
      </c>
      <c r="C394" s="22" t="s">
        <v>395</v>
      </c>
      <c r="D394" s="22" t="s">
        <v>363</v>
      </c>
      <c r="E394" s="22" t="s">
        <v>60</v>
      </c>
      <c r="F394" t="s">
        <v>796</v>
      </c>
      <c r="G394" t="s">
        <v>1131</v>
      </c>
    </row>
    <row r="395" spans="2:7" ht="14.25">
      <c r="B395" s="22">
        <v>394</v>
      </c>
      <c r="C395" s="22" t="s">
        <v>396</v>
      </c>
      <c r="D395" s="22" t="s">
        <v>363</v>
      </c>
      <c r="E395" s="22" t="s">
        <v>60</v>
      </c>
      <c r="F395" t="s">
        <v>796</v>
      </c>
      <c r="G395" t="s">
        <v>1132</v>
      </c>
    </row>
    <row r="396" spans="2:7" ht="14.25">
      <c r="B396" s="22">
        <v>395</v>
      </c>
      <c r="C396" s="22" t="s">
        <v>397</v>
      </c>
      <c r="D396" s="22" t="s">
        <v>363</v>
      </c>
      <c r="E396" s="22" t="s">
        <v>60</v>
      </c>
      <c r="F396" t="s">
        <v>796</v>
      </c>
      <c r="G396" t="s">
        <v>1134</v>
      </c>
    </row>
    <row r="397" spans="2:7" ht="14.25">
      <c r="B397" s="22">
        <v>396</v>
      </c>
      <c r="C397" s="22" t="s">
        <v>398</v>
      </c>
      <c r="D397" s="22" t="s">
        <v>363</v>
      </c>
      <c r="E397" s="22" t="s">
        <v>60</v>
      </c>
      <c r="F397" t="s">
        <v>797</v>
      </c>
      <c r="G397" t="s">
        <v>1136</v>
      </c>
    </row>
    <row r="398" spans="2:7" ht="14.25">
      <c r="B398" s="22">
        <v>397</v>
      </c>
      <c r="C398" s="22" t="s">
        <v>399</v>
      </c>
      <c r="D398" s="22" t="s">
        <v>363</v>
      </c>
      <c r="E398" s="22" t="s">
        <v>60</v>
      </c>
      <c r="F398" t="s">
        <v>797</v>
      </c>
      <c r="G398" t="s">
        <v>1135</v>
      </c>
    </row>
    <row r="399" spans="2:7" ht="14.25">
      <c r="B399" s="22">
        <v>398</v>
      </c>
      <c r="C399" s="22" t="s">
        <v>235</v>
      </c>
      <c r="D399" s="22" t="s">
        <v>363</v>
      </c>
      <c r="E399" s="22" t="s">
        <v>60</v>
      </c>
      <c r="F399" t="s">
        <v>797</v>
      </c>
      <c r="G399" t="s">
        <v>984</v>
      </c>
    </row>
    <row r="400" spans="2:7" ht="14.25">
      <c r="B400" s="22">
        <v>399</v>
      </c>
      <c r="C400" s="22" t="s">
        <v>400</v>
      </c>
      <c r="D400" s="22" t="s">
        <v>363</v>
      </c>
      <c r="E400" s="22" t="s">
        <v>60</v>
      </c>
      <c r="F400" t="s">
        <v>798</v>
      </c>
    </row>
    <row r="401" spans="2:7" ht="14.25">
      <c r="B401" s="22">
        <v>400</v>
      </c>
      <c r="C401" s="22" t="s">
        <v>401</v>
      </c>
      <c r="D401" s="22" t="s">
        <v>363</v>
      </c>
      <c r="E401" s="22" t="s">
        <v>84</v>
      </c>
      <c r="F401" s="44" t="s">
        <v>796</v>
      </c>
      <c r="G401" s="44" t="s">
        <v>1137</v>
      </c>
    </row>
    <row r="402" spans="2:7" ht="14.25">
      <c r="B402" s="22">
        <v>401</v>
      </c>
      <c r="C402" s="22" t="s">
        <v>402</v>
      </c>
      <c r="D402" s="22" t="s">
        <v>363</v>
      </c>
      <c r="E402" s="22" t="s">
        <v>84</v>
      </c>
      <c r="F402" s="44" t="s">
        <v>798</v>
      </c>
    </row>
    <row r="403" spans="2:7" ht="14.25">
      <c r="B403" s="22">
        <v>402</v>
      </c>
      <c r="C403" s="22" t="s">
        <v>403</v>
      </c>
      <c r="D403" s="22" t="s">
        <v>363</v>
      </c>
      <c r="E403" s="22" t="s">
        <v>84</v>
      </c>
      <c r="F403" s="44" t="s">
        <v>798</v>
      </c>
      <c r="G403" s="44" t="s">
        <v>1138</v>
      </c>
    </row>
    <row r="404" spans="2:7" ht="14.25">
      <c r="B404" s="22">
        <v>403</v>
      </c>
      <c r="C404" s="22" t="s">
        <v>297</v>
      </c>
      <c r="D404" s="22" t="s">
        <v>363</v>
      </c>
      <c r="E404" s="22" t="s">
        <v>84</v>
      </c>
      <c r="F404" s="44" t="s">
        <v>798</v>
      </c>
      <c r="G404" s="44" t="s">
        <v>1139</v>
      </c>
    </row>
    <row r="405" spans="2:7" ht="14.25">
      <c r="B405" s="22">
        <v>404</v>
      </c>
      <c r="C405" s="22" t="s">
        <v>404</v>
      </c>
      <c r="D405" s="22" t="s">
        <v>363</v>
      </c>
      <c r="E405" s="22" t="s">
        <v>84</v>
      </c>
      <c r="F405" s="44" t="s">
        <v>798</v>
      </c>
    </row>
    <row r="406" spans="2:7" ht="14.25">
      <c r="B406" s="22">
        <v>405</v>
      </c>
      <c r="C406" s="22" t="s">
        <v>405</v>
      </c>
      <c r="D406" s="22" t="s">
        <v>363</v>
      </c>
      <c r="E406" s="22" t="s">
        <v>84</v>
      </c>
      <c r="F406" s="44" t="s">
        <v>798</v>
      </c>
    </row>
    <row r="407" spans="2:7" ht="14.25">
      <c r="B407" s="22">
        <v>406</v>
      </c>
      <c r="C407" s="22" t="s">
        <v>406</v>
      </c>
      <c r="D407" s="22" t="s">
        <v>363</v>
      </c>
      <c r="E407" s="22" t="s">
        <v>84</v>
      </c>
      <c r="F407" s="44" t="s">
        <v>797</v>
      </c>
      <c r="G407" s="44" t="s">
        <v>1140</v>
      </c>
    </row>
    <row r="408" spans="2:7" ht="14.25">
      <c r="B408" s="22">
        <v>407</v>
      </c>
      <c r="C408" s="22" t="s">
        <v>407</v>
      </c>
      <c r="D408" s="22" t="s">
        <v>363</v>
      </c>
      <c r="E408" s="22" t="s">
        <v>84</v>
      </c>
      <c r="F408" s="44" t="s">
        <v>796</v>
      </c>
      <c r="G408" s="44" t="s">
        <v>1141</v>
      </c>
    </row>
    <row r="409" spans="2:7" ht="14.25">
      <c r="B409" s="22">
        <v>408</v>
      </c>
      <c r="C409" s="22" t="s">
        <v>408</v>
      </c>
      <c r="D409" s="22" t="s">
        <v>363</v>
      </c>
      <c r="E409" s="22" t="s">
        <v>84</v>
      </c>
      <c r="F409" s="44" t="s">
        <v>797</v>
      </c>
      <c r="G409" s="44" t="s">
        <v>1142</v>
      </c>
    </row>
    <row r="410" spans="2:7" ht="14.25">
      <c r="B410" s="22">
        <v>409</v>
      </c>
      <c r="C410" s="22" t="s">
        <v>409</v>
      </c>
      <c r="D410" s="22" t="s">
        <v>363</v>
      </c>
      <c r="E410" s="22" t="s">
        <v>84</v>
      </c>
      <c r="F410" s="44" t="s">
        <v>796</v>
      </c>
      <c r="G410" s="44" t="s">
        <v>1143</v>
      </c>
    </row>
    <row r="411" spans="2:7" ht="14.25">
      <c r="B411" s="22">
        <v>410</v>
      </c>
      <c r="C411" s="22" t="s">
        <v>410</v>
      </c>
      <c r="D411" s="22" t="s">
        <v>363</v>
      </c>
      <c r="E411" s="22" t="s">
        <v>84</v>
      </c>
      <c r="F411" s="44" t="s">
        <v>798</v>
      </c>
      <c r="G411" s="44" t="s">
        <v>1144</v>
      </c>
    </row>
    <row r="412" spans="2:7" ht="14.25">
      <c r="B412" s="22">
        <v>411</v>
      </c>
      <c r="C412" s="22" t="s">
        <v>411</v>
      </c>
      <c r="D412" s="22" t="s">
        <v>363</v>
      </c>
      <c r="E412" s="22" t="s">
        <v>84</v>
      </c>
      <c r="F412" s="44" t="s">
        <v>796</v>
      </c>
      <c r="G412" s="44" t="s">
        <v>1145</v>
      </c>
    </row>
    <row r="413" spans="2:7" ht="14.25">
      <c r="B413" s="22">
        <v>412</v>
      </c>
      <c r="C413" s="22" t="s">
        <v>412</v>
      </c>
      <c r="D413" s="22" t="s">
        <v>363</v>
      </c>
      <c r="E413" s="22" t="s">
        <v>84</v>
      </c>
      <c r="F413" s="44" t="s">
        <v>798</v>
      </c>
      <c r="G413" s="44" t="s">
        <v>1146</v>
      </c>
    </row>
    <row r="414" spans="2:7" ht="14.25">
      <c r="B414" s="22">
        <v>413</v>
      </c>
      <c r="C414" s="22" t="s">
        <v>413</v>
      </c>
      <c r="D414" s="22" t="s">
        <v>363</v>
      </c>
      <c r="E414" s="22" t="s">
        <v>84</v>
      </c>
      <c r="F414" s="44" t="s">
        <v>796</v>
      </c>
      <c r="G414" s="44" t="s">
        <v>1147</v>
      </c>
    </row>
    <row r="415" spans="2:7" ht="14.25">
      <c r="B415" s="22">
        <v>414</v>
      </c>
      <c r="C415" s="22" t="s">
        <v>414</v>
      </c>
      <c r="D415" s="22" t="s">
        <v>363</v>
      </c>
      <c r="E415" s="22" t="s">
        <v>105</v>
      </c>
      <c r="F415" s="44" t="s">
        <v>797</v>
      </c>
      <c r="G415" s="44" t="s">
        <v>1148</v>
      </c>
    </row>
    <row r="416" spans="2:7" ht="14.25">
      <c r="B416" s="22">
        <v>415</v>
      </c>
      <c r="C416" s="22" t="s">
        <v>415</v>
      </c>
      <c r="D416" s="22" t="s">
        <v>363</v>
      </c>
      <c r="E416" s="22" t="s">
        <v>105</v>
      </c>
      <c r="F416" s="44" t="s">
        <v>796</v>
      </c>
      <c r="G416" s="44" t="s">
        <v>1149</v>
      </c>
    </row>
    <row r="417" spans="2:7" ht="14.25">
      <c r="B417" s="22">
        <v>416</v>
      </c>
      <c r="C417" s="22" t="s">
        <v>416</v>
      </c>
      <c r="D417" s="22" t="s">
        <v>363</v>
      </c>
      <c r="E417" s="22" t="s">
        <v>105</v>
      </c>
      <c r="F417" s="44" t="s">
        <v>796</v>
      </c>
      <c r="G417" s="44" t="s">
        <v>1150</v>
      </c>
    </row>
    <row r="418" spans="2:7" ht="14.25">
      <c r="B418" s="22">
        <v>417</v>
      </c>
      <c r="C418" s="22" t="s">
        <v>417</v>
      </c>
      <c r="D418" s="22" t="s">
        <v>363</v>
      </c>
      <c r="E418" s="22" t="s">
        <v>105</v>
      </c>
      <c r="F418" s="44" t="s">
        <v>798</v>
      </c>
    </row>
    <row r="419" spans="2:7" ht="14.25">
      <c r="B419" s="22">
        <v>418</v>
      </c>
      <c r="C419" s="22" t="s">
        <v>376</v>
      </c>
      <c r="D419" s="22" t="s">
        <v>363</v>
      </c>
      <c r="E419" s="22" t="s">
        <v>105</v>
      </c>
      <c r="F419" s="44" t="s">
        <v>798</v>
      </c>
      <c r="G419" s="44" t="s">
        <v>1151</v>
      </c>
    </row>
    <row r="420" spans="2:7" ht="14.25">
      <c r="B420" s="22">
        <v>419</v>
      </c>
      <c r="C420" s="22" t="s">
        <v>418</v>
      </c>
      <c r="D420" s="22" t="s">
        <v>419</v>
      </c>
      <c r="E420" s="22" t="s">
        <v>36</v>
      </c>
      <c r="F420" t="s">
        <v>796</v>
      </c>
      <c r="G420" s="44" t="s">
        <v>1152</v>
      </c>
    </row>
    <row r="421" spans="2:7" ht="14.25">
      <c r="B421" s="22">
        <v>420</v>
      </c>
      <c r="C421" s="22" t="s">
        <v>65</v>
      </c>
      <c r="D421" s="22" t="s">
        <v>419</v>
      </c>
      <c r="E421" s="22" t="s">
        <v>36</v>
      </c>
      <c r="F421" t="s">
        <v>796</v>
      </c>
      <c r="G421" s="44" t="s">
        <v>827</v>
      </c>
    </row>
    <row r="422" spans="2:7" ht="14.25">
      <c r="B422" s="22">
        <v>421</v>
      </c>
      <c r="C422" s="22" t="s">
        <v>50</v>
      </c>
      <c r="D422" s="22" t="s">
        <v>419</v>
      </c>
      <c r="E422" s="22" t="s">
        <v>36</v>
      </c>
      <c r="F422" t="s">
        <v>796</v>
      </c>
      <c r="G422" s="44" t="s">
        <v>813</v>
      </c>
    </row>
    <row r="423" spans="2:7" ht="14.25">
      <c r="B423" s="22">
        <v>422</v>
      </c>
      <c r="C423" s="22" t="s">
        <v>252</v>
      </c>
      <c r="D423" s="22" t="s">
        <v>419</v>
      </c>
      <c r="E423" s="22" t="s">
        <v>36</v>
      </c>
      <c r="F423" t="s">
        <v>796</v>
      </c>
      <c r="G423" s="44" t="s">
        <v>1002</v>
      </c>
    </row>
    <row r="424" spans="2:7" ht="14.25">
      <c r="B424" s="22">
        <v>423</v>
      </c>
      <c r="C424" s="22" t="s">
        <v>46</v>
      </c>
      <c r="D424" s="22" t="s">
        <v>419</v>
      </c>
      <c r="E424" s="22" t="s">
        <v>36</v>
      </c>
      <c r="F424" t="s">
        <v>796</v>
      </c>
      <c r="G424" s="44" t="s">
        <v>1003</v>
      </c>
    </row>
    <row r="425" spans="2:7" ht="14.25">
      <c r="B425" s="22">
        <v>424</v>
      </c>
      <c r="C425" s="22" t="s">
        <v>48</v>
      </c>
      <c r="D425" s="22" t="s">
        <v>419</v>
      </c>
      <c r="E425" s="22" t="s">
        <v>36</v>
      </c>
      <c r="F425" t="s">
        <v>796</v>
      </c>
      <c r="G425" s="44" t="s">
        <v>811</v>
      </c>
    </row>
    <row r="426" spans="2:7" ht="14.25">
      <c r="B426" s="22">
        <v>425</v>
      </c>
      <c r="C426" s="22" t="s">
        <v>49</v>
      </c>
      <c r="D426" s="22" t="s">
        <v>419</v>
      </c>
      <c r="E426" s="22" t="s">
        <v>36</v>
      </c>
      <c r="F426" t="s">
        <v>796</v>
      </c>
      <c r="G426" s="44" t="s">
        <v>812</v>
      </c>
    </row>
    <row r="427" spans="2:7" ht="14.25">
      <c r="B427" s="22">
        <v>426</v>
      </c>
      <c r="C427" s="22" t="s">
        <v>420</v>
      </c>
      <c r="D427" s="22" t="s">
        <v>419</v>
      </c>
      <c r="E427" s="22" t="s">
        <v>36</v>
      </c>
      <c r="F427" t="s">
        <v>796</v>
      </c>
      <c r="G427" s="44" t="s">
        <v>1153</v>
      </c>
    </row>
    <row r="428" spans="2:7" ht="14.25">
      <c r="B428" s="22">
        <v>427</v>
      </c>
      <c r="C428" s="22" t="s">
        <v>314</v>
      </c>
      <c r="D428" s="22" t="s">
        <v>419</v>
      </c>
      <c r="E428" s="22" t="s">
        <v>36</v>
      </c>
      <c r="F428" t="s">
        <v>797</v>
      </c>
      <c r="G428" s="44" t="s">
        <v>1154</v>
      </c>
    </row>
    <row r="429" spans="2:7" ht="14.25">
      <c r="B429" s="22">
        <v>428</v>
      </c>
      <c r="C429" s="22" t="s">
        <v>421</v>
      </c>
      <c r="D429" s="22" t="s">
        <v>419</v>
      </c>
      <c r="E429" s="22" t="s">
        <v>36</v>
      </c>
      <c r="F429" t="s">
        <v>796</v>
      </c>
      <c r="G429" s="44" t="s">
        <v>1155</v>
      </c>
    </row>
    <row r="430" spans="2:7" ht="14.25">
      <c r="B430" s="22">
        <v>429</v>
      </c>
      <c r="C430" s="22" t="s">
        <v>342</v>
      </c>
      <c r="D430" s="22" t="s">
        <v>419</v>
      </c>
      <c r="E430" s="22" t="s">
        <v>36</v>
      </c>
      <c r="F430" s="44" t="s">
        <v>797</v>
      </c>
      <c r="G430" s="44" t="s">
        <v>1085</v>
      </c>
    </row>
    <row r="431" spans="2:7" ht="14.25">
      <c r="B431" s="22">
        <v>430</v>
      </c>
      <c r="C431" s="22" t="s">
        <v>264</v>
      </c>
      <c r="D431" s="22" t="s">
        <v>419</v>
      </c>
      <c r="E431" s="22" t="s">
        <v>36</v>
      </c>
      <c r="F431" t="s">
        <v>798</v>
      </c>
      <c r="G431" s="44" t="s">
        <v>1156</v>
      </c>
    </row>
    <row r="432" spans="2:7" ht="14.25">
      <c r="B432" s="22">
        <v>431</v>
      </c>
      <c r="C432" s="22" t="s">
        <v>51</v>
      </c>
      <c r="D432" s="22" t="s">
        <v>419</v>
      </c>
      <c r="E432" s="22" t="s">
        <v>36</v>
      </c>
      <c r="F432" t="s">
        <v>796</v>
      </c>
      <c r="G432" s="44" t="s">
        <v>814</v>
      </c>
    </row>
    <row r="433" spans="2:7" ht="14.25">
      <c r="B433" s="22">
        <v>432</v>
      </c>
      <c r="C433" s="22" t="s">
        <v>52</v>
      </c>
      <c r="D433" s="22" t="s">
        <v>419</v>
      </c>
      <c r="E433" s="22" t="s">
        <v>36</v>
      </c>
      <c r="F433" t="s">
        <v>796</v>
      </c>
      <c r="G433" s="44" t="s">
        <v>815</v>
      </c>
    </row>
    <row r="434" spans="2:7" ht="14.25">
      <c r="B434" s="22">
        <v>433</v>
      </c>
      <c r="C434" s="22" t="s">
        <v>75</v>
      </c>
      <c r="D434" s="22" t="s">
        <v>419</v>
      </c>
      <c r="E434" s="22" t="s">
        <v>36</v>
      </c>
      <c r="F434" t="s">
        <v>796</v>
      </c>
      <c r="G434" s="44" t="s">
        <v>837</v>
      </c>
    </row>
    <row r="435" spans="2:7" ht="14.25">
      <c r="B435" s="22">
        <v>434</v>
      </c>
      <c r="C435" s="22" t="s">
        <v>422</v>
      </c>
      <c r="D435" s="22" t="s">
        <v>419</v>
      </c>
      <c r="E435" s="22" t="s">
        <v>36</v>
      </c>
      <c r="F435" t="s">
        <v>796</v>
      </c>
      <c r="G435" s="44" t="s">
        <v>1157</v>
      </c>
    </row>
    <row r="436" spans="2:7" ht="14.25">
      <c r="B436" s="22">
        <v>435</v>
      </c>
      <c r="C436" s="22" t="s">
        <v>423</v>
      </c>
      <c r="D436" s="22" t="s">
        <v>419</v>
      </c>
      <c r="E436" s="22" t="s">
        <v>36</v>
      </c>
      <c r="F436" t="s">
        <v>798</v>
      </c>
      <c r="G436" s="44" t="s">
        <v>1158</v>
      </c>
    </row>
    <row r="437" spans="2:7" ht="14.25">
      <c r="B437" s="22">
        <v>436</v>
      </c>
      <c r="C437" s="22" t="s">
        <v>424</v>
      </c>
      <c r="D437" s="22" t="s">
        <v>419</v>
      </c>
      <c r="E437" s="22" t="s">
        <v>36</v>
      </c>
      <c r="F437" t="s">
        <v>796</v>
      </c>
      <c r="G437" s="44" t="s">
        <v>1159</v>
      </c>
    </row>
    <row r="438" spans="2:7" ht="14.25">
      <c r="B438" s="22">
        <v>437</v>
      </c>
      <c r="C438" s="22" t="s">
        <v>425</v>
      </c>
      <c r="D438" s="22" t="s">
        <v>419</v>
      </c>
      <c r="E438" s="22" t="s">
        <v>36</v>
      </c>
      <c r="F438" t="s">
        <v>796</v>
      </c>
      <c r="G438" s="44" t="s">
        <v>1160</v>
      </c>
    </row>
    <row r="439" spans="2:7" ht="14.25">
      <c r="B439" s="22">
        <v>438</v>
      </c>
      <c r="C439" s="22" t="s">
        <v>426</v>
      </c>
      <c r="D439" s="22" t="s">
        <v>419</v>
      </c>
      <c r="E439" s="22" t="s">
        <v>36</v>
      </c>
      <c r="F439" t="s">
        <v>796</v>
      </c>
      <c r="G439" s="44" t="s">
        <v>1161</v>
      </c>
    </row>
    <row r="440" spans="2:7" ht="14.25">
      <c r="B440" s="22">
        <v>439</v>
      </c>
      <c r="C440" s="22" t="s">
        <v>427</v>
      </c>
      <c r="D440" s="22" t="s">
        <v>419</v>
      </c>
      <c r="E440" s="22" t="s">
        <v>36</v>
      </c>
      <c r="F440" s="44" t="s">
        <v>797</v>
      </c>
      <c r="G440" s="44" t="s">
        <v>1164</v>
      </c>
    </row>
    <row r="441" spans="2:7" ht="14.25">
      <c r="B441" s="22">
        <v>440</v>
      </c>
      <c r="C441" s="22" t="s">
        <v>428</v>
      </c>
      <c r="D441" s="22" t="s">
        <v>419</v>
      </c>
      <c r="E441" s="22" t="s">
        <v>36</v>
      </c>
      <c r="F441" t="s">
        <v>796</v>
      </c>
      <c r="G441" s="44" t="s">
        <v>1163</v>
      </c>
    </row>
    <row r="442" spans="2:7" ht="14.25">
      <c r="B442" s="22">
        <v>441</v>
      </c>
      <c r="C442" s="22" t="s">
        <v>429</v>
      </c>
      <c r="D442" s="22" t="s">
        <v>419</v>
      </c>
      <c r="E442" s="22" t="s">
        <v>36</v>
      </c>
      <c r="F442" t="s">
        <v>796</v>
      </c>
      <c r="G442" s="44" t="s">
        <v>1165</v>
      </c>
    </row>
    <row r="443" spans="2:7" ht="14.25">
      <c r="B443" s="22">
        <v>442</v>
      </c>
      <c r="C443" s="22" t="s">
        <v>430</v>
      </c>
      <c r="D443" s="22" t="s">
        <v>419</v>
      </c>
      <c r="E443" s="22" t="s">
        <v>60</v>
      </c>
      <c r="F443" s="44" t="s">
        <v>797</v>
      </c>
      <c r="G443" s="44" t="s">
        <v>1166</v>
      </c>
    </row>
    <row r="444" spans="2:7" ht="14.25">
      <c r="B444" s="22">
        <v>443</v>
      </c>
      <c r="C444" s="22" t="s">
        <v>65</v>
      </c>
      <c r="D444" s="22" t="s">
        <v>419</v>
      </c>
      <c r="E444" s="22" t="s">
        <v>60</v>
      </c>
      <c r="F444" t="s">
        <v>796</v>
      </c>
      <c r="G444" s="44" t="s">
        <v>827</v>
      </c>
    </row>
    <row r="445" spans="2:7" ht="14.25">
      <c r="B445" s="22">
        <v>444</v>
      </c>
      <c r="C445" s="22" t="s">
        <v>67</v>
      </c>
      <c r="D445" s="22" t="s">
        <v>419</v>
      </c>
      <c r="E445" s="22" t="s">
        <v>60</v>
      </c>
      <c r="F445" t="s">
        <v>796</v>
      </c>
      <c r="G445" s="44" t="s">
        <v>829</v>
      </c>
    </row>
    <row r="446" spans="2:7" ht="14.25">
      <c r="B446" s="22">
        <v>445</v>
      </c>
      <c r="C446" s="22" t="s">
        <v>66</v>
      </c>
      <c r="D446" s="22" t="s">
        <v>419</v>
      </c>
      <c r="E446" s="22" t="s">
        <v>60</v>
      </c>
      <c r="F446" t="s">
        <v>796</v>
      </c>
      <c r="G446" s="44" t="s">
        <v>828</v>
      </c>
    </row>
    <row r="447" spans="2:7" ht="14.25">
      <c r="B447" s="22">
        <v>446</v>
      </c>
      <c r="C447" s="22" t="s">
        <v>431</v>
      </c>
      <c r="D447" s="22" t="s">
        <v>419</v>
      </c>
      <c r="E447" s="22" t="s">
        <v>60</v>
      </c>
      <c r="F447" t="s">
        <v>796</v>
      </c>
      <c r="G447" s="44" t="s">
        <v>1167</v>
      </c>
    </row>
    <row r="448" spans="2:7" ht="14.25">
      <c r="B448" s="22">
        <v>447</v>
      </c>
      <c r="C448" s="22" t="s">
        <v>432</v>
      </c>
      <c r="D448" s="22" t="s">
        <v>419</v>
      </c>
      <c r="E448" s="22" t="s">
        <v>60</v>
      </c>
      <c r="F448" t="s">
        <v>796</v>
      </c>
      <c r="G448" s="44" t="s">
        <v>1168</v>
      </c>
    </row>
    <row r="449" spans="2:7" ht="14.25">
      <c r="B449" s="22">
        <v>448</v>
      </c>
      <c r="C449" s="22" t="s">
        <v>64</v>
      </c>
      <c r="D449" s="22" t="s">
        <v>419</v>
      </c>
      <c r="E449" s="22" t="s">
        <v>60</v>
      </c>
      <c r="F449" t="s">
        <v>798</v>
      </c>
      <c r="G449" s="44" t="s">
        <v>1169</v>
      </c>
    </row>
    <row r="450" spans="2:7" ht="14.25">
      <c r="B450" s="22">
        <v>449</v>
      </c>
      <c r="C450" s="22" t="s">
        <v>433</v>
      </c>
      <c r="D450" s="22" t="s">
        <v>419</v>
      </c>
      <c r="E450" s="22" t="s">
        <v>60</v>
      </c>
      <c r="F450" t="s">
        <v>797</v>
      </c>
      <c r="G450" s="44" t="s">
        <v>1170</v>
      </c>
    </row>
    <row r="451" spans="2:7" ht="14.25">
      <c r="B451" s="22">
        <v>450</v>
      </c>
      <c r="C451" s="22" t="s">
        <v>62</v>
      </c>
      <c r="D451" s="22" t="s">
        <v>419</v>
      </c>
      <c r="E451" s="22" t="s">
        <v>60</v>
      </c>
      <c r="F451" t="s">
        <v>797</v>
      </c>
      <c r="G451" s="44" t="s">
        <v>825</v>
      </c>
    </row>
    <row r="452" spans="2:7" ht="14.25">
      <c r="B452" s="22">
        <v>451</v>
      </c>
      <c r="C452" s="22" t="s">
        <v>63</v>
      </c>
      <c r="D452" s="22" t="s">
        <v>419</v>
      </c>
      <c r="E452" s="22" t="s">
        <v>60</v>
      </c>
      <c r="F452" t="s">
        <v>797</v>
      </c>
      <c r="G452" s="44" t="s">
        <v>824</v>
      </c>
    </row>
    <row r="453" spans="2:7" ht="14.25">
      <c r="B453" s="22">
        <v>452</v>
      </c>
      <c r="C453" s="22" t="s">
        <v>59</v>
      </c>
      <c r="D453" s="22" t="s">
        <v>419</v>
      </c>
      <c r="E453" s="22" t="s">
        <v>60</v>
      </c>
      <c r="F453" t="s">
        <v>796</v>
      </c>
      <c r="G453" s="44" t="s">
        <v>822</v>
      </c>
    </row>
    <row r="454" spans="2:7" ht="14.25">
      <c r="B454" s="22">
        <v>453</v>
      </c>
      <c r="C454" s="22" t="s">
        <v>434</v>
      </c>
      <c r="D454" s="22" t="s">
        <v>419</v>
      </c>
      <c r="E454" s="22" t="s">
        <v>60</v>
      </c>
      <c r="F454" t="s">
        <v>796</v>
      </c>
      <c r="G454" s="44" t="s">
        <v>837</v>
      </c>
    </row>
    <row r="455" spans="2:7" ht="14.25">
      <c r="B455" s="22">
        <v>454</v>
      </c>
      <c r="C455" s="22" t="s">
        <v>435</v>
      </c>
      <c r="D455" s="22" t="s">
        <v>419</v>
      </c>
      <c r="E455" s="22" t="s">
        <v>60</v>
      </c>
      <c r="F455" t="s">
        <v>796</v>
      </c>
      <c r="G455" s="44" t="s">
        <v>1157</v>
      </c>
    </row>
    <row r="456" spans="2:7" ht="14.25">
      <c r="B456" s="22">
        <v>455</v>
      </c>
      <c r="C456" s="22" t="s">
        <v>436</v>
      </c>
      <c r="D456" s="22" t="s">
        <v>419</v>
      </c>
      <c r="E456" s="22" t="s">
        <v>60</v>
      </c>
      <c r="F456" t="s">
        <v>798</v>
      </c>
    </row>
    <row r="457" spans="2:7" ht="14.25">
      <c r="B457" s="22">
        <v>456</v>
      </c>
      <c r="C457" s="22" t="s">
        <v>101</v>
      </c>
      <c r="D457" s="22" t="s">
        <v>419</v>
      </c>
      <c r="E457" s="22" t="s">
        <v>60</v>
      </c>
      <c r="F457" t="s">
        <v>796</v>
      </c>
      <c r="G457" t="s">
        <v>861</v>
      </c>
    </row>
    <row r="458" spans="2:7" ht="14.25">
      <c r="B458" s="22">
        <v>457</v>
      </c>
      <c r="C458" s="22" t="s">
        <v>437</v>
      </c>
      <c r="D458" s="22" t="s">
        <v>419</v>
      </c>
      <c r="E458" s="22" t="s">
        <v>60</v>
      </c>
      <c r="F458" t="s">
        <v>796</v>
      </c>
      <c r="G458" t="s">
        <v>1171</v>
      </c>
    </row>
    <row r="459" spans="2:7" ht="14.25">
      <c r="B459" s="22">
        <v>458</v>
      </c>
      <c r="C459" s="22" t="s">
        <v>438</v>
      </c>
      <c r="D459" s="22" t="s">
        <v>419</v>
      </c>
      <c r="E459" s="22" t="s">
        <v>60</v>
      </c>
      <c r="F459" t="s">
        <v>798</v>
      </c>
    </row>
    <row r="460" spans="2:7" ht="14.25">
      <c r="B460" s="22">
        <v>459</v>
      </c>
      <c r="C460" s="22" t="s">
        <v>439</v>
      </c>
      <c r="D460" s="22" t="s">
        <v>419</v>
      </c>
      <c r="E460" s="22" t="s">
        <v>60</v>
      </c>
      <c r="F460" t="s">
        <v>798</v>
      </c>
    </row>
    <row r="461" spans="2:7" ht="14.25">
      <c r="B461" s="22">
        <v>460</v>
      </c>
      <c r="C461" s="22" t="s">
        <v>440</v>
      </c>
      <c r="D461" s="22" t="s">
        <v>419</v>
      </c>
      <c r="E461" s="22" t="s">
        <v>60</v>
      </c>
      <c r="F461" t="s">
        <v>796</v>
      </c>
      <c r="G461" t="s">
        <v>1172</v>
      </c>
    </row>
    <row r="462" spans="2:7" ht="14.25">
      <c r="B462" s="22">
        <v>461</v>
      </c>
      <c r="C462" s="22" t="s">
        <v>441</v>
      </c>
      <c r="D462" s="22" t="s">
        <v>419</v>
      </c>
      <c r="E462" s="22" t="s">
        <v>60</v>
      </c>
      <c r="F462" s="44" t="s">
        <v>798</v>
      </c>
    </row>
    <row r="463" spans="2:7" ht="14.25">
      <c r="B463" s="22">
        <v>462</v>
      </c>
      <c r="C463" s="22" t="s">
        <v>442</v>
      </c>
      <c r="D463" s="22" t="s">
        <v>419</v>
      </c>
      <c r="E463" s="22" t="s">
        <v>60</v>
      </c>
      <c r="F463" s="44" t="s">
        <v>798</v>
      </c>
    </row>
    <row r="464" spans="2:7" ht="14.25">
      <c r="B464" s="22">
        <v>463</v>
      </c>
      <c r="C464" s="22" t="s">
        <v>443</v>
      </c>
      <c r="D464" s="22" t="s">
        <v>419</v>
      </c>
      <c r="E464" s="22" t="s">
        <v>60</v>
      </c>
      <c r="F464" s="44" t="s">
        <v>797</v>
      </c>
      <c r="G464" s="44" t="s">
        <v>1173</v>
      </c>
    </row>
    <row r="465" spans="2:7" ht="14.25">
      <c r="B465" s="22">
        <v>464</v>
      </c>
      <c r="C465" s="22" t="s">
        <v>444</v>
      </c>
      <c r="D465" s="22" t="s">
        <v>419</v>
      </c>
      <c r="E465" s="22" t="s">
        <v>60</v>
      </c>
      <c r="F465" s="44" t="s">
        <v>797</v>
      </c>
      <c r="G465" s="44" t="s">
        <v>1174</v>
      </c>
    </row>
    <row r="466" spans="2:7" ht="14.25">
      <c r="B466" s="22">
        <v>465</v>
      </c>
      <c r="C466" s="22" t="s">
        <v>445</v>
      </c>
      <c r="D466" s="22" t="s">
        <v>419</v>
      </c>
      <c r="E466" s="22" t="s">
        <v>60</v>
      </c>
      <c r="F466" t="s">
        <v>796</v>
      </c>
      <c r="G466" s="44" t="s">
        <v>1175</v>
      </c>
    </row>
    <row r="467" spans="2:7" ht="14.25">
      <c r="B467" s="22">
        <v>466</v>
      </c>
      <c r="C467" s="22" t="s">
        <v>446</v>
      </c>
      <c r="D467" s="22" t="s">
        <v>419</v>
      </c>
      <c r="E467" s="22" t="s">
        <v>60</v>
      </c>
      <c r="F467" t="s">
        <v>796</v>
      </c>
      <c r="G467" s="44" t="s">
        <v>1176</v>
      </c>
    </row>
    <row r="468" spans="2:7" ht="14.25">
      <c r="B468" s="22">
        <v>467</v>
      </c>
      <c r="C468" s="22" t="s">
        <v>447</v>
      </c>
      <c r="D468" s="22" t="s">
        <v>419</v>
      </c>
      <c r="E468" s="22" t="s">
        <v>60</v>
      </c>
      <c r="F468" s="44" t="s">
        <v>797</v>
      </c>
      <c r="G468" s="44" t="s">
        <v>1177</v>
      </c>
    </row>
    <row r="469" spans="2:7" ht="14.25">
      <c r="B469" s="22">
        <v>468</v>
      </c>
      <c r="C469" s="22" t="s">
        <v>51</v>
      </c>
      <c r="D469" s="22" t="s">
        <v>419</v>
      </c>
      <c r="E469" s="22" t="s">
        <v>60</v>
      </c>
      <c r="F469" s="44" t="s">
        <v>796</v>
      </c>
      <c r="G469" s="44" t="s">
        <v>814</v>
      </c>
    </row>
    <row r="470" spans="2:7" ht="14.25">
      <c r="B470" s="22">
        <v>469</v>
      </c>
      <c r="C470" s="22" t="s">
        <v>448</v>
      </c>
      <c r="D470" s="22" t="s">
        <v>419</v>
      </c>
      <c r="E470" s="22" t="s">
        <v>60</v>
      </c>
      <c r="F470" s="44" t="s">
        <v>796</v>
      </c>
      <c r="G470" s="44" t="s">
        <v>1179</v>
      </c>
    </row>
    <row r="471" spans="2:7" ht="14.25">
      <c r="B471" s="22">
        <v>470</v>
      </c>
      <c r="C471" s="22" t="s">
        <v>449</v>
      </c>
      <c r="D471" s="22" t="s">
        <v>419</v>
      </c>
      <c r="E471" s="22" t="s">
        <v>60</v>
      </c>
      <c r="F471" s="44" t="s">
        <v>797</v>
      </c>
      <c r="G471" s="44" t="s">
        <v>1178</v>
      </c>
    </row>
    <row r="472" spans="2:7" ht="14.25">
      <c r="B472" s="22">
        <v>471</v>
      </c>
      <c r="C472" s="22" t="s">
        <v>74</v>
      </c>
      <c r="D472" s="22" t="s">
        <v>419</v>
      </c>
      <c r="E472" s="22" t="s">
        <v>60</v>
      </c>
      <c r="F472" s="44" t="s">
        <v>796</v>
      </c>
      <c r="G472" s="44" t="s">
        <v>836</v>
      </c>
    </row>
    <row r="473" spans="2:7" ht="14.25">
      <c r="B473" s="22">
        <v>472</v>
      </c>
      <c r="C473" s="22" t="s">
        <v>450</v>
      </c>
      <c r="D473" s="22" t="s">
        <v>419</v>
      </c>
      <c r="E473" s="22" t="s">
        <v>60</v>
      </c>
      <c r="F473" s="44" t="s">
        <v>798</v>
      </c>
    </row>
    <row r="474" spans="2:7" ht="14.25">
      <c r="B474" s="22">
        <v>473</v>
      </c>
      <c r="C474" s="22" t="s">
        <v>451</v>
      </c>
      <c r="D474" s="22" t="s">
        <v>419</v>
      </c>
      <c r="E474" s="22" t="s">
        <v>84</v>
      </c>
      <c r="F474" s="44" t="s">
        <v>798</v>
      </c>
    </row>
    <row r="475" spans="2:7" ht="14.25">
      <c r="B475" s="22">
        <v>474</v>
      </c>
      <c r="C475" s="22" t="s">
        <v>452</v>
      </c>
      <c r="D475" s="22" t="s">
        <v>419</v>
      </c>
      <c r="E475" s="22" t="s">
        <v>84</v>
      </c>
      <c r="F475" s="44" t="s">
        <v>798</v>
      </c>
    </row>
    <row r="476" spans="2:7" ht="14.25">
      <c r="B476" s="22">
        <v>475</v>
      </c>
      <c r="C476" s="22" t="s">
        <v>453</v>
      </c>
      <c r="D476" s="22" t="s">
        <v>419</v>
      </c>
      <c r="E476" s="22" t="s">
        <v>84</v>
      </c>
      <c r="F476" s="44" t="s">
        <v>797</v>
      </c>
      <c r="G476" s="44" t="s">
        <v>1180</v>
      </c>
    </row>
    <row r="477" spans="2:7" ht="14.25">
      <c r="B477" s="22">
        <v>476</v>
      </c>
      <c r="C477" s="22" t="s">
        <v>454</v>
      </c>
      <c r="D477" s="22" t="s">
        <v>419</v>
      </c>
      <c r="E477" s="22" t="s">
        <v>84</v>
      </c>
      <c r="F477" s="44" t="s">
        <v>798</v>
      </c>
    </row>
    <row r="478" spans="2:7" ht="14.25">
      <c r="B478" s="22">
        <v>477</v>
      </c>
      <c r="C478" s="22" t="s">
        <v>455</v>
      </c>
      <c r="D478" s="22" t="s">
        <v>419</v>
      </c>
      <c r="E478" s="22" t="s">
        <v>84</v>
      </c>
      <c r="F478" s="44" t="s">
        <v>798</v>
      </c>
    </row>
    <row r="479" spans="2:7" ht="14.25">
      <c r="B479" s="22">
        <v>478</v>
      </c>
      <c r="C479" s="22" t="s">
        <v>456</v>
      </c>
      <c r="D479" s="22" t="s">
        <v>419</v>
      </c>
      <c r="E479" s="22" t="s">
        <v>84</v>
      </c>
      <c r="F479" s="44" t="s">
        <v>798</v>
      </c>
    </row>
    <row r="480" spans="2:7" ht="14.25">
      <c r="B480" s="22">
        <v>479</v>
      </c>
      <c r="C480" s="22" t="s">
        <v>457</v>
      </c>
      <c r="D480" s="22" t="s">
        <v>419</v>
      </c>
      <c r="E480" s="22" t="s">
        <v>84</v>
      </c>
      <c r="F480" s="44" t="s">
        <v>798</v>
      </c>
      <c r="G480" s="44" t="s">
        <v>1181</v>
      </c>
    </row>
    <row r="481" spans="2:7" ht="14.25">
      <c r="B481" s="22">
        <v>480</v>
      </c>
      <c r="C481" s="22" t="s">
        <v>458</v>
      </c>
      <c r="D481" s="22" t="s">
        <v>419</v>
      </c>
      <c r="E481" s="22" t="s">
        <v>84</v>
      </c>
      <c r="F481" s="44" t="s">
        <v>798</v>
      </c>
      <c r="G481" s="44" t="s">
        <v>1182</v>
      </c>
    </row>
    <row r="482" spans="2:7" ht="14.25">
      <c r="B482" s="22">
        <v>481</v>
      </c>
      <c r="C482" s="22" t="s">
        <v>459</v>
      </c>
      <c r="D482" s="22" t="s">
        <v>419</v>
      </c>
      <c r="E482" s="22" t="s">
        <v>84</v>
      </c>
      <c r="F482" s="44" t="s">
        <v>798</v>
      </c>
    </row>
    <row r="483" spans="2:7" ht="14.25">
      <c r="B483" s="22">
        <v>482</v>
      </c>
      <c r="C483" s="22" t="s">
        <v>460</v>
      </c>
      <c r="D483" s="22" t="s">
        <v>419</v>
      </c>
      <c r="E483" s="22" t="s">
        <v>84</v>
      </c>
      <c r="F483" s="44" t="s">
        <v>798</v>
      </c>
    </row>
    <row r="484" spans="2:7" ht="14.25">
      <c r="B484" s="22">
        <v>483</v>
      </c>
      <c r="C484" s="22" t="s">
        <v>461</v>
      </c>
      <c r="D484" s="22" t="s">
        <v>419</v>
      </c>
      <c r="E484" s="22" t="s">
        <v>84</v>
      </c>
      <c r="F484" s="44" t="s">
        <v>798</v>
      </c>
    </row>
    <row r="485" spans="2:7" ht="14.25">
      <c r="B485" s="22">
        <v>484</v>
      </c>
      <c r="C485" s="22" t="s">
        <v>462</v>
      </c>
      <c r="D485" s="22" t="s">
        <v>419</v>
      </c>
      <c r="E485" s="22" t="s">
        <v>84</v>
      </c>
      <c r="F485" s="44" t="s">
        <v>797</v>
      </c>
      <c r="G485" s="44" t="s">
        <v>1183</v>
      </c>
    </row>
    <row r="486" spans="2:7" ht="14.25">
      <c r="B486" s="22">
        <v>485</v>
      </c>
      <c r="C486" s="22" t="s">
        <v>463</v>
      </c>
      <c r="D486" s="22" t="s">
        <v>419</v>
      </c>
      <c r="E486" s="22" t="s">
        <v>84</v>
      </c>
      <c r="F486" s="44" t="s">
        <v>798</v>
      </c>
    </row>
    <row r="487" spans="2:7" ht="14.25">
      <c r="B487" s="22">
        <v>486</v>
      </c>
      <c r="C487" s="22" t="s">
        <v>464</v>
      </c>
      <c r="D487" s="22" t="s">
        <v>419</v>
      </c>
      <c r="E487" s="22" t="s">
        <v>84</v>
      </c>
      <c r="F487" s="44" t="s">
        <v>796</v>
      </c>
      <c r="G487" s="44" t="s">
        <v>1184</v>
      </c>
    </row>
    <row r="488" spans="2:7" ht="14.25">
      <c r="B488" s="22">
        <v>487</v>
      </c>
      <c r="C488" s="22" t="s">
        <v>465</v>
      </c>
      <c r="D488" s="22" t="s">
        <v>419</v>
      </c>
      <c r="E488" s="22" t="s">
        <v>84</v>
      </c>
      <c r="F488" s="44" t="s">
        <v>798</v>
      </c>
    </row>
    <row r="489" spans="2:7" ht="14.25">
      <c r="B489" s="22">
        <v>488</v>
      </c>
      <c r="C489" s="22" t="s">
        <v>466</v>
      </c>
      <c r="D489" s="22" t="s">
        <v>419</v>
      </c>
      <c r="E489" s="22" t="s">
        <v>84</v>
      </c>
      <c r="F489" s="44" t="s">
        <v>798</v>
      </c>
    </row>
    <row r="490" spans="2:7" ht="14.25">
      <c r="B490" s="22">
        <v>489</v>
      </c>
      <c r="C490" s="22" t="s">
        <v>467</v>
      </c>
      <c r="D490" s="22" t="s">
        <v>419</v>
      </c>
      <c r="E490" s="22" t="s">
        <v>84</v>
      </c>
      <c r="F490" s="44" t="s">
        <v>798</v>
      </c>
    </row>
    <row r="491" spans="2:7" ht="14.25">
      <c r="B491" s="22">
        <v>490</v>
      </c>
      <c r="C491" s="22" t="s">
        <v>468</v>
      </c>
      <c r="D491" s="22" t="s">
        <v>419</v>
      </c>
      <c r="E491" s="22" t="s">
        <v>84</v>
      </c>
      <c r="F491" s="44" t="s">
        <v>798</v>
      </c>
    </row>
    <row r="492" spans="2:7" ht="14.25">
      <c r="B492" s="22">
        <v>491</v>
      </c>
      <c r="C492" s="22" t="s">
        <v>469</v>
      </c>
      <c r="D492" s="22" t="s">
        <v>419</v>
      </c>
      <c r="E492" s="22" t="s">
        <v>105</v>
      </c>
      <c r="F492" s="44" t="s">
        <v>798</v>
      </c>
      <c r="G492" s="44" t="s">
        <v>1185</v>
      </c>
    </row>
    <row r="493" spans="2:7" ht="14.25">
      <c r="B493" s="22">
        <v>492</v>
      </c>
      <c r="C493" s="22" t="s">
        <v>470</v>
      </c>
      <c r="D493" s="22" t="s">
        <v>419</v>
      </c>
      <c r="E493" s="22" t="s">
        <v>105</v>
      </c>
      <c r="F493" s="44" t="s">
        <v>798</v>
      </c>
      <c r="G493" s="44" t="s">
        <v>1187</v>
      </c>
    </row>
    <row r="494" spans="2:7" ht="14.25">
      <c r="B494" s="22">
        <v>493</v>
      </c>
      <c r="C494" s="22" t="s">
        <v>471</v>
      </c>
      <c r="D494" s="22" t="s">
        <v>419</v>
      </c>
      <c r="E494" s="22" t="s">
        <v>105</v>
      </c>
      <c r="F494" s="44" t="s">
        <v>796</v>
      </c>
      <c r="G494" s="44" t="s">
        <v>1186</v>
      </c>
    </row>
    <row r="495" spans="2:7" ht="14.25">
      <c r="B495" s="22">
        <v>494</v>
      </c>
      <c r="C495" s="22" t="s">
        <v>472</v>
      </c>
      <c r="D495" s="22" t="s">
        <v>419</v>
      </c>
      <c r="E495" s="22" t="s">
        <v>105</v>
      </c>
      <c r="F495" s="44" t="s">
        <v>796</v>
      </c>
      <c r="G495" s="44" t="s">
        <v>1188</v>
      </c>
    </row>
    <row r="496" spans="2:7" ht="14.25">
      <c r="B496" s="22">
        <v>495</v>
      </c>
      <c r="C496" s="22" t="s">
        <v>473</v>
      </c>
      <c r="D496" s="22" t="s">
        <v>419</v>
      </c>
      <c r="E496" s="22" t="s">
        <v>105</v>
      </c>
      <c r="F496" s="44" t="s">
        <v>797</v>
      </c>
      <c r="G496" s="44" t="s">
        <v>1189</v>
      </c>
    </row>
    <row r="497" spans="2:7" ht="14.25">
      <c r="B497" s="22">
        <v>496</v>
      </c>
      <c r="C497" s="22" t="s">
        <v>474</v>
      </c>
      <c r="D497" s="22" t="s">
        <v>419</v>
      </c>
      <c r="E497" s="22" t="s">
        <v>105</v>
      </c>
      <c r="F497" s="44" t="s">
        <v>797</v>
      </c>
      <c r="G497" s="44" t="s">
        <v>1190</v>
      </c>
    </row>
    <row r="498" spans="2:7" ht="14.25">
      <c r="B498" s="22">
        <v>497</v>
      </c>
      <c r="C498" s="22" t="s">
        <v>475</v>
      </c>
      <c r="D498" s="22" t="s">
        <v>476</v>
      </c>
      <c r="E498" s="22" t="s">
        <v>36</v>
      </c>
      <c r="F498" t="s">
        <v>796</v>
      </c>
      <c r="G498" s="44" t="s">
        <v>1191</v>
      </c>
    </row>
    <row r="499" spans="2:7" ht="14.25">
      <c r="B499" s="22">
        <v>498</v>
      </c>
      <c r="C499" s="22" t="s">
        <v>79</v>
      </c>
      <c r="D499" s="22" t="s">
        <v>476</v>
      </c>
      <c r="E499" s="22" t="s">
        <v>36</v>
      </c>
      <c r="F499" t="s">
        <v>796</v>
      </c>
      <c r="G499" s="44" t="s">
        <v>841</v>
      </c>
    </row>
    <row r="500" spans="2:7" ht="14.25">
      <c r="B500" s="22">
        <v>499</v>
      </c>
      <c r="C500" s="22" t="s">
        <v>477</v>
      </c>
      <c r="D500" s="22" t="s">
        <v>476</v>
      </c>
      <c r="E500" s="22" t="s">
        <v>36</v>
      </c>
      <c r="F500" t="s">
        <v>796</v>
      </c>
      <c r="G500" s="44" t="s">
        <v>1192</v>
      </c>
    </row>
    <row r="501" spans="2:7" ht="14.25">
      <c r="B501" s="22">
        <v>500</v>
      </c>
      <c r="C501" s="22" t="s">
        <v>478</v>
      </c>
      <c r="D501" s="22" t="s">
        <v>476</v>
      </c>
      <c r="E501" s="22" t="s">
        <v>36</v>
      </c>
      <c r="F501" t="s">
        <v>796</v>
      </c>
      <c r="G501" s="44" t="s">
        <v>1193</v>
      </c>
    </row>
    <row r="502" spans="2:7" ht="14.25">
      <c r="B502" s="22">
        <v>501</v>
      </c>
      <c r="C502" s="22" t="s">
        <v>479</v>
      </c>
      <c r="D502" s="22" t="s">
        <v>476</v>
      </c>
      <c r="E502" s="22" t="s">
        <v>36</v>
      </c>
      <c r="F502" t="s">
        <v>796</v>
      </c>
      <c r="G502" s="44" t="s">
        <v>1194</v>
      </c>
    </row>
    <row r="503" spans="2:7" ht="14.25">
      <c r="B503" s="22">
        <v>502</v>
      </c>
      <c r="C503" s="22" t="s">
        <v>480</v>
      </c>
      <c r="D503" s="22" t="s">
        <v>476</v>
      </c>
      <c r="E503" s="22" t="s">
        <v>36</v>
      </c>
      <c r="F503" t="s">
        <v>796</v>
      </c>
      <c r="G503" s="44" t="s">
        <v>1195</v>
      </c>
    </row>
    <row r="504" spans="2:7" ht="14.25">
      <c r="B504" s="22">
        <v>503</v>
      </c>
      <c r="C504" s="22" t="s">
        <v>481</v>
      </c>
      <c r="D504" s="22" t="s">
        <v>476</v>
      </c>
      <c r="E504" s="22" t="s">
        <v>36</v>
      </c>
      <c r="F504" s="44" t="s">
        <v>797</v>
      </c>
      <c r="G504" s="44" t="s">
        <v>1196</v>
      </c>
    </row>
    <row r="505" spans="2:7" ht="14.25">
      <c r="B505" s="22">
        <v>504</v>
      </c>
      <c r="C505" s="22" t="s">
        <v>482</v>
      </c>
      <c r="D505" s="22" t="s">
        <v>476</v>
      </c>
      <c r="E505" s="22" t="s">
        <v>36</v>
      </c>
      <c r="F505" t="s">
        <v>796</v>
      </c>
      <c r="G505" s="44" t="s">
        <v>1197</v>
      </c>
    </row>
    <row r="506" spans="2:7" ht="14.25">
      <c r="B506" s="22">
        <v>505</v>
      </c>
      <c r="C506" s="22" t="s">
        <v>483</v>
      </c>
      <c r="D506" s="22" t="s">
        <v>476</v>
      </c>
      <c r="E506" s="22" t="s">
        <v>36</v>
      </c>
      <c r="F506" t="s">
        <v>797</v>
      </c>
      <c r="G506" s="44" t="s">
        <v>1198</v>
      </c>
    </row>
    <row r="507" spans="2:7" ht="14.25">
      <c r="B507" s="22">
        <v>506</v>
      </c>
      <c r="C507" s="22" t="s">
        <v>484</v>
      </c>
      <c r="D507" s="22" t="s">
        <v>476</v>
      </c>
      <c r="E507" s="22" t="s">
        <v>36</v>
      </c>
      <c r="F507" t="s">
        <v>797</v>
      </c>
      <c r="G507" s="44" t="s">
        <v>1199</v>
      </c>
    </row>
    <row r="508" spans="2:7" ht="14.25">
      <c r="B508" s="22">
        <v>507</v>
      </c>
      <c r="C508" s="22" t="s">
        <v>485</v>
      </c>
      <c r="D508" s="22" t="s">
        <v>476</v>
      </c>
      <c r="E508" s="22" t="s">
        <v>36</v>
      </c>
      <c r="F508" t="s">
        <v>797</v>
      </c>
      <c r="G508" s="44" t="s">
        <v>1200</v>
      </c>
    </row>
    <row r="509" spans="2:7" ht="14.25">
      <c r="B509" s="22">
        <v>508</v>
      </c>
      <c r="C509" s="22" t="s">
        <v>91</v>
      </c>
      <c r="D509" s="22" t="s">
        <v>476</v>
      </c>
      <c r="E509" s="22" t="s">
        <v>36</v>
      </c>
      <c r="F509" t="s">
        <v>796</v>
      </c>
      <c r="G509" s="44" t="s">
        <v>1202</v>
      </c>
    </row>
    <row r="510" spans="2:7" ht="14.25">
      <c r="B510" s="22">
        <v>509</v>
      </c>
      <c r="C510" s="22" t="s">
        <v>486</v>
      </c>
      <c r="D510" s="22" t="s">
        <v>476</v>
      </c>
      <c r="E510" s="22" t="s">
        <v>36</v>
      </c>
      <c r="F510" t="s">
        <v>796</v>
      </c>
      <c r="G510" s="44" t="s">
        <v>1201</v>
      </c>
    </row>
    <row r="511" spans="2:7" ht="14.25">
      <c r="B511" s="22">
        <v>510</v>
      </c>
      <c r="C511" s="22" t="s">
        <v>487</v>
      </c>
      <c r="D511" s="22" t="s">
        <v>476</v>
      </c>
      <c r="E511" s="22" t="s">
        <v>36</v>
      </c>
      <c r="F511" t="s">
        <v>796</v>
      </c>
      <c r="G511" s="44" t="s">
        <v>1203</v>
      </c>
    </row>
    <row r="512" spans="2:7" ht="14.25">
      <c r="B512" s="22">
        <v>511</v>
      </c>
      <c r="C512" s="22" t="s">
        <v>488</v>
      </c>
      <c r="D512" s="22" t="s">
        <v>476</v>
      </c>
      <c r="E512" s="22" t="s">
        <v>36</v>
      </c>
      <c r="F512" t="s">
        <v>797</v>
      </c>
      <c r="G512" s="44" t="s">
        <v>1204</v>
      </c>
    </row>
    <row r="513" spans="2:7" ht="14.25">
      <c r="B513" s="22">
        <v>512</v>
      </c>
      <c r="C513" s="22" t="s">
        <v>266</v>
      </c>
      <c r="D513" s="22" t="s">
        <v>476</v>
      </c>
      <c r="E513" s="22" t="s">
        <v>36</v>
      </c>
      <c r="F513" t="s">
        <v>798</v>
      </c>
    </row>
    <row r="514" spans="2:7" ht="14.25">
      <c r="B514" s="22">
        <v>513</v>
      </c>
      <c r="C514" s="22" t="s">
        <v>268</v>
      </c>
      <c r="D514" s="22" t="s">
        <v>476</v>
      </c>
      <c r="E514" s="22" t="s">
        <v>36</v>
      </c>
      <c r="F514" t="s">
        <v>797</v>
      </c>
      <c r="G514" t="s">
        <v>1205</v>
      </c>
    </row>
    <row r="515" spans="2:7" ht="14.25">
      <c r="B515" s="22">
        <v>514</v>
      </c>
      <c r="C515" s="22" t="s">
        <v>126</v>
      </c>
      <c r="D515" s="22" t="s">
        <v>476</v>
      </c>
      <c r="E515" s="22" t="s">
        <v>36</v>
      </c>
      <c r="F515" t="s">
        <v>797</v>
      </c>
      <c r="G515" t="s">
        <v>1206</v>
      </c>
    </row>
    <row r="516" spans="2:7" ht="14.25">
      <c r="B516" s="22">
        <v>515</v>
      </c>
      <c r="C516" s="22" t="s">
        <v>127</v>
      </c>
      <c r="D516" s="22" t="s">
        <v>476</v>
      </c>
      <c r="E516" s="22" t="s">
        <v>36</v>
      </c>
      <c r="F516" t="s">
        <v>797</v>
      </c>
      <c r="G516" t="s">
        <v>1206</v>
      </c>
    </row>
    <row r="517" spans="2:7" ht="14.25">
      <c r="B517" s="22">
        <v>516</v>
      </c>
      <c r="C517" s="22" t="s">
        <v>287</v>
      </c>
      <c r="D517" s="22" t="s">
        <v>476</v>
      </c>
      <c r="E517" s="22" t="s">
        <v>36</v>
      </c>
      <c r="F517" t="s">
        <v>796</v>
      </c>
      <c r="G517" t="s">
        <v>1033</v>
      </c>
    </row>
    <row r="518" spans="2:7" ht="14.25">
      <c r="B518" s="22">
        <v>517</v>
      </c>
      <c r="C518" s="22" t="s">
        <v>288</v>
      </c>
      <c r="D518" s="22" t="s">
        <v>476</v>
      </c>
      <c r="E518" s="22" t="s">
        <v>36</v>
      </c>
      <c r="F518" t="s">
        <v>796</v>
      </c>
      <c r="G518" t="s">
        <v>1034</v>
      </c>
    </row>
    <row r="519" spans="2:7" ht="14.25">
      <c r="B519" s="22">
        <v>518</v>
      </c>
      <c r="C519" s="22" t="s">
        <v>489</v>
      </c>
      <c r="D519" s="22" t="s">
        <v>476</v>
      </c>
      <c r="E519" s="22" t="s">
        <v>36</v>
      </c>
      <c r="F519" t="s">
        <v>796</v>
      </c>
      <c r="G519" t="s">
        <v>1207</v>
      </c>
    </row>
    <row r="520" spans="2:7" ht="14.25">
      <c r="B520" s="22">
        <v>519</v>
      </c>
      <c r="C520" s="22" t="s">
        <v>490</v>
      </c>
      <c r="D520" s="22" t="s">
        <v>476</v>
      </c>
      <c r="E520" s="22" t="s">
        <v>36</v>
      </c>
      <c r="F520" t="s">
        <v>797</v>
      </c>
      <c r="G520" t="s">
        <v>1208</v>
      </c>
    </row>
    <row r="521" spans="2:7" ht="14.25">
      <c r="B521" s="22">
        <v>520</v>
      </c>
      <c r="C521" s="22" t="s">
        <v>491</v>
      </c>
      <c r="D521" s="22" t="s">
        <v>476</v>
      </c>
      <c r="E521" s="22" t="s">
        <v>60</v>
      </c>
      <c r="F521" s="44" t="s">
        <v>797</v>
      </c>
      <c r="G521" s="44" t="s">
        <v>1210</v>
      </c>
    </row>
    <row r="522" spans="2:7" ht="14.25">
      <c r="B522" s="22">
        <v>521</v>
      </c>
      <c r="C522" s="22" t="s">
        <v>492</v>
      </c>
      <c r="D522" s="22" t="s">
        <v>476</v>
      </c>
      <c r="E522" s="22" t="s">
        <v>60</v>
      </c>
      <c r="F522" s="44" t="s">
        <v>797</v>
      </c>
      <c r="G522" s="44" t="s">
        <v>1209</v>
      </c>
    </row>
    <row r="523" spans="2:7" ht="14.25">
      <c r="B523" s="22">
        <v>522</v>
      </c>
      <c r="C523" s="22" t="s">
        <v>493</v>
      </c>
      <c r="D523" s="22" t="s">
        <v>476</v>
      </c>
      <c r="E523" s="22" t="s">
        <v>60</v>
      </c>
      <c r="F523" s="44" t="s">
        <v>797</v>
      </c>
      <c r="G523" s="44" t="s">
        <v>1211</v>
      </c>
    </row>
    <row r="524" spans="2:7" ht="14.25">
      <c r="B524" s="22">
        <v>523</v>
      </c>
      <c r="C524" s="22" t="s">
        <v>494</v>
      </c>
      <c r="D524" s="22" t="s">
        <v>476</v>
      </c>
      <c r="E524" s="22" t="s">
        <v>60</v>
      </c>
      <c r="F524" s="44" t="s">
        <v>796</v>
      </c>
      <c r="G524" s="44" t="s">
        <v>1212</v>
      </c>
    </row>
    <row r="525" spans="2:7" ht="14.25">
      <c r="B525" s="22">
        <v>524</v>
      </c>
      <c r="C525" s="22" t="s">
        <v>495</v>
      </c>
      <c r="D525" s="22" t="s">
        <v>476</v>
      </c>
      <c r="E525" s="22" t="s">
        <v>60</v>
      </c>
      <c r="F525" s="44" t="s">
        <v>796</v>
      </c>
      <c r="G525" s="44" t="s">
        <v>1213</v>
      </c>
    </row>
    <row r="526" spans="2:7" ht="14.25">
      <c r="B526" s="22">
        <v>525</v>
      </c>
      <c r="C526" s="22" t="s">
        <v>496</v>
      </c>
      <c r="D526" s="22" t="s">
        <v>476</v>
      </c>
      <c r="E526" s="22" t="s">
        <v>60</v>
      </c>
      <c r="F526" s="44" t="s">
        <v>796</v>
      </c>
      <c r="G526" s="44" t="s">
        <v>1214</v>
      </c>
    </row>
    <row r="527" spans="2:7" ht="14.25">
      <c r="B527" s="22">
        <v>526</v>
      </c>
      <c r="C527" s="22" t="s">
        <v>497</v>
      </c>
      <c r="D527" s="22" t="s">
        <v>476</v>
      </c>
      <c r="E527" s="22" t="s">
        <v>60</v>
      </c>
      <c r="F527" s="44" t="s">
        <v>797</v>
      </c>
      <c r="G527" s="44" t="s">
        <v>1215</v>
      </c>
    </row>
    <row r="528" spans="2:7" ht="14.25">
      <c r="B528" s="22">
        <v>527</v>
      </c>
      <c r="C528" s="22" t="s">
        <v>498</v>
      </c>
      <c r="D528" s="22" t="s">
        <v>476</v>
      </c>
      <c r="E528" s="22" t="s">
        <v>60</v>
      </c>
      <c r="F528" s="44" t="s">
        <v>797</v>
      </c>
      <c r="G528" s="44" t="s">
        <v>1216</v>
      </c>
    </row>
    <row r="529" spans="2:7" ht="14.25">
      <c r="B529" s="22">
        <v>528</v>
      </c>
      <c r="C529" s="22" t="s">
        <v>499</v>
      </c>
      <c r="D529" s="22" t="s">
        <v>476</v>
      </c>
      <c r="E529" s="22" t="s">
        <v>60</v>
      </c>
      <c r="F529" s="44" t="s">
        <v>797</v>
      </c>
      <c r="G529" s="44" t="s">
        <v>1217</v>
      </c>
    </row>
    <row r="530" spans="2:7" ht="14.25">
      <c r="B530" s="22">
        <v>529</v>
      </c>
      <c r="C530" s="22" t="s">
        <v>500</v>
      </c>
      <c r="D530" s="22" t="s">
        <v>476</v>
      </c>
      <c r="E530" s="22" t="s">
        <v>60</v>
      </c>
      <c r="F530" s="44" t="s">
        <v>797</v>
      </c>
      <c r="G530" s="44" t="s">
        <v>1218</v>
      </c>
    </row>
    <row r="531" spans="2:7" ht="14.25">
      <c r="B531" s="22">
        <v>530</v>
      </c>
      <c r="C531" s="22" t="s">
        <v>501</v>
      </c>
      <c r="D531" s="22" t="s">
        <v>476</v>
      </c>
      <c r="E531" s="22" t="s">
        <v>60</v>
      </c>
      <c r="F531" s="44" t="s">
        <v>798</v>
      </c>
      <c r="G531" s="44" t="s">
        <v>1219</v>
      </c>
    </row>
    <row r="532" spans="2:7" ht="14.25">
      <c r="B532" s="22">
        <v>531</v>
      </c>
      <c r="C532" s="22" t="s">
        <v>502</v>
      </c>
      <c r="D532" s="22" t="s">
        <v>476</v>
      </c>
      <c r="E532" s="22" t="s">
        <v>60</v>
      </c>
      <c r="F532" s="44" t="s">
        <v>798</v>
      </c>
      <c r="G532" s="44" t="s">
        <v>1220</v>
      </c>
    </row>
    <row r="533" spans="2:7" ht="14.25">
      <c r="B533" s="22">
        <v>532</v>
      </c>
      <c r="C533" s="22" t="s">
        <v>503</v>
      </c>
      <c r="D533" s="22" t="s">
        <v>476</v>
      </c>
      <c r="E533" s="22" t="s">
        <v>60</v>
      </c>
      <c r="F533" s="44" t="s">
        <v>797</v>
      </c>
      <c r="G533" s="44" t="s">
        <v>1221</v>
      </c>
    </row>
    <row r="534" spans="2:7" ht="14.25">
      <c r="B534" s="22">
        <v>533</v>
      </c>
      <c r="C534" s="22" t="s">
        <v>504</v>
      </c>
      <c r="D534" s="22" t="s">
        <v>476</v>
      </c>
      <c r="E534" s="22" t="s">
        <v>60</v>
      </c>
      <c r="F534" s="44" t="s">
        <v>796</v>
      </c>
      <c r="G534" s="44" t="s">
        <v>1222</v>
      </c>
    </row>
    <row r="535" spans="2:7" ht="14.25">
      <c r="B535" s="22">
        <v>534</v>
      </c>
      <c r="C535" s="22" t="s">
        <v>505</v>
      </c>
      <c r="D535" s="22" t="s">
        <v>476</v>
      </c>
      <c r="E535" s="22" t="s">
        <v>60</v>
      </c>
      <c r="F535" s="44" t="s">
        <v>796</v>
      </c>
      <c r="G535" s="44" t="s">
        <v>1223</v>
      </c>
    </row>
    <row r="536" spans="2:7" ht="14.25">
      <c r="B536" s="22">
        <v>535</v>
      </c>
      <c r="C536" s="22" t="s">
        <v>155</v>
      </c>
      <c r="D536" s="22" t="s">
        <v>476</v>
      </c>
      <c r="E536" s="22" t="s">
        <v>60</v>
      </c>
      <c r="F536" s="44" t="s">
        <v>797</v>
      </c>
      <c r="G536" s="44" t="s">
        <v>909</v>
      </c>
    </row>
    <row r="537" spans="2:7" ht="14.25">
      <c r="B537" s="22">
        <v>536</v>
      </c>
      <c r="C537" s="22" t="s">
        <v>506</v>
      </c>
      <c r="D537" s="22" t="s">
        <v>476</v>
      </c>
      <c r="E537" s="22" t="s">
        <v>60</v>
      </c>
      <c r="F537" s="44" t="s">
        <v>796</v>
      </c>
      <c r="G537" s="44" t="s">
        <v>1224</v>
      </c>
    </row>
    <row r="538" spans="2:7" ht="14.25">
      <c r="B538" s="22">
        <v>537</v>
      </c>
      <c r="C538" s="22" t="s">
        <v>507</v>
      </c>
      <c r="D538" s="22" t="s">
        <v>476</v>
      </c>
      <c r="E538" s="22" t="s">
        <v>60</v>
      </c>
      <c r="F538" s="44" t="s">
        <v>798</v>
      </c>
    </row>
    <row r="539" spans="2:7" ht="14.25">
      <c r="B539" s="22">
        <v>538</v>
      </c>
      <c r="C539" s="22" t="s">
        <v>508</v>
      </c>
      <c r="D539" s="22" t="s">
        <v>476</v>
      </c>
      <c r="E539" s="22" t="s">
        <v>60</v>
      </c>
      <c r="F539" s="44" t="s">
        <v>798</v>
      </c>
    </row>
    <row r="540" spans="2:7" ht="14.25">
      <c r="B540" s="22">
        <v>539</v>
      </c>
      <c r="C540" s="22" t="s">
        <v>509</v>
      </c>
      <c r="D540" s="22" t="s">
        <v>476</v>
      </c>
      <c r="E540" s="22" t="s">
        <v>60</v>
      </c>
      <c r="F540" s="44" t="s">
        <v>798</v>
      </c>
    </row>
    <row r="541" spans="2:7" ht="14.25">
      <c r="B541" s="22">
        <v>540</v>
      </c>
      <c r="C541" s="22" t="s">
        <v>510</v>
      </c>
      <c r="D541" s="22" t="s">
        <v>476</v>
      </c>
      <c r="E541" s="22" t="s">
        <v>60</v>
      </c>
      <c r="F541" s="44" t="s">
        <v>797</v>
      </c>
      <c r="G541" s="44" t="s">
        <v>1225</v>
      </c>
    </row>
    <row r="542" spans="2:7" ht="14.25">
      <c r="B542" s="22">
        <v>541</v>
      </c>
      <c r="C542" s="22" t="s">
        <v>511</v>
      </c>
      <c r="D542" s="22" t="s">
        <v>476</v>
      </c>
      <c r="E542" s="22" t="s">
        <v>60</v>
      </c>
      <c r="F542" s="44" t="s">
        <v>798</v>
      </c>
    </row>
    <row r="543" spans="2:7" ht="14.25">
      <c r="B543" s="22">
        <v>542</v>
      </c>
      <c r="C543" s="22" t="s">
        <v>512</v>
      </c>
      <c r="D543" s="22" t="s">
        <v>476</v>
      </c>
      <c r="E543" s="22" t="s">
        <v>60</v>
      </c>
      <c r="F543" s="44" t="s">
        <v>797</v>
      </c>
      <c r="G543" s="44" t="s">
        <v>1180</v>
      </c>
    </row>
    <row r="544" spans="2:7" ht="14.25">
      <c r="B544" s="22">
        <v>543</v>
      </c>
      <c r="C544" s="22" t="s">
        <v>51</v>
      </c>
      <c r="D544" s="22" t="s">
        <v>476</v>
      </c>
      <c r="E544" s="22" t="s">
        <v>60</v>
      </c>
      <c r="F544" s="44" t="s">
        <v>796</v>
      </c>
      <c r="G544" s="44" t="s">
        <v>814</v>
      </c>
    </row>
    <row r="545" spans="2:7" ht="14.25">
      <c r="B545" s="22">
        <v>544</v>
      </c>
      <c r="C545" s="22" t="s">
        <v>52</v>
      </c>
      <c r="D545" s="22" t="s">
        <v>476</v>
      </c>
      <c r="E545" s="22" t="s">
        <v>60</v>
      </c>
      <c r="F545" s="44" t="s">
        <v>796</v>
      </c>
      <c r="G545" s="44" t="s">
        <v>815</v>
      </c>
    </row>
    <row r="546" spans="2:7" ht="14.25">
      <c r="B546" s="22">
        <v>545</v>
      </c>
      <c r="C546" s="22" t="s">
        <v>513</v>
      </c>
      <c r="D546" s="22" t="s">
        <v>476</v>
      </c>
      <c r="E546" s="22" t="s">
        <v>60</v>
      </c>
      <c r="F546" s="44" t="s">
        <v>796</v>
      </c>
      <c r="G546" s="44" t="s">
        <v>1226</v>
      </c>
    </row>
    <row r="547" spans="2:7" ht="14.25">
      <c r="B547" s="22">
        <v>546</v>
      </c>
      <c r="C547" s="22" t="s">
        <v>514</v>
      </c>
      <c r="D547" s="22" t="s">
        <v>476</v>
      </c>
      <c r="E547" s="22" t="s">
        <v>60</v>
      </c>
      <c r="F547" s="44" t="s">
        <v>797</v>
      </c>
      <c r="G547" s="44" t="s">
        <v>1227</v>
      </c>
    </row>
    <row r="548" spans="2:7" ht="14.25">
      <c r="B548" s="22">
        <v>547</v>
      </c>
      <c r="C548" s="22" t="s">
        <v>515</v>
      </c>
      <c r="D548" s="22" t="s">
        <v>476</v>
      </c>
      <c r="E548" s="22" t="s">
        <v>60</v>
      </c>
      <c r="F548" s="44" t="s">
        <v>797</v>
      </c>
      <c r="G548" s="44" t="s">
        <v>1228</v>
      </c>
    </row>
    <row r="549" spans="2:7" ht="14.25">
      <c r="B549" s="22">
        <v>548</v>
      </c>
      <c r="C549" s="22" t="s">
        <v>516</v>
      </c>
      <c r="D549" s="22" t="s">
        <v>476</v>
      </c>
      <c r="E549" s="22" t="s">
        <v>84</v>
      </c>
      <c r="F549" s="44" t="s">
        <v>796</v>
      </c>
      <c r="G549" s="44" t="s">
        <v>1229</v>
      </c>
    </row>
    <row r="550" spans="2:7" ht="14.25">
      <c r="B550" s="22">
        <v>549</v>
      </c>
      <c r="C550" s="22" t="s">
        <v>517</v>
      </c>
      <c r="D550" s="22" t="s">
        <v>476</v>
      </c>
      <c r="E550" s="22" t="s">
        <v>84</v>
      </c>
      <c r="F550" s="44" t="s">
        <v>797</v>
      </c>
      <c r="G550" s="44" t="s">
        <v>1230</v>
      </c>
    </row>
    <row r="551" spans="2:7" ht="14.25">
      <c r="B551" s="22">
        <v>550</v>
      </c>
      <c r="C551" s="22" t="s">
        <v>518</v>
      </c>
      <c r="D551" s="22" t="s">
        <v>476</v>
      </c>
      <c r="E551" s="22" t="s">
        <v>84</v>
      </c>
      <c r="F551" s="44" t="s">
        <v>798</v>
      </c>
    </row>
    <row r="552" spans="2:7" ht="14.25">
      <c r="B552" s="22">
        <v>551</v>
      </c>
      <c r="C552" s="22" t="s">
        <v>519</v>
      </c>
      <c r="D552" s="22" t="s">
        <v>476</v>
      </c>
      <c r="E552" s="22" t="s">
        <v>84</v>
      </c>
      <c r="F552" s="44" t="s">
        <v>796</v>
      </c>
      <c r="G552" s="44" t="s">
        <v>1231</v>
      </c>
    </row>
    <row r="553" spans="2:7" ht="14.25">
      <c r="B553" s="22">
        <v>552</v>
      </c>
      <c r="C553" s="22" t="s">
        <v>520</v>
      </c>
      <c r="D553" s="22" t="s">
        <v>476</v>
      </c>
      <c r="E553" s="22" t="s">
        <v>84</v>
      </c>
      <c r="F553" s="44" t="s">
        <v>797</v>
      </c>
      <c r="G553" s="44" t="s">
        <v>1232</v>
      </c>
    </row>
    <row r="554" spans="2:7" ht="14.25">
      <c r="B554" s="22">
        <v>553</v>
      </c>
      <c r="C554" s="22" t="s">
        <v>521</v>
      </c>
      <c r="D554" s="22" t="s">
        <v>476</v>
      </c>
      <c r="E554" s="22" t="s">
        <v>84</v>
      </c>
      <c r="F554" s="44" t="s">
        <v>797</v>
      </c>
      <c r="G554" s="44" t="s">
        <v>1233</v>
      </c>
    </row>
    <row r="555" spans="2:7" ht="14.25">
      <c r="B555" s="22">
        <v>554</v>
      </c>
      <c r="C555" s="22" t="s">
        <v>522</v>
      </c>
      <c r="D555" s="22" t="s">
        <v>476</v>
      </c>
      <c r="E555" s="22" t="s">
        <v>84</v>
      </c>
      <c r="F555" s="44" t="s">
        <v>796</v>
      </c>
      <c r="G555" s="44" t="s">
        <v>1234</v>
      </c>
    </row>
    <row r="556" spans="2:7" ht="14.25">
      <c r="B556" s="22">
        <v>555</v>
      </c>
      <c r="C556" s="22" t="s">
        <v>523</v>
      </c>
      <c r="D556" s="22" t="s">
        <v>476</v>
      </c>
      <c r="E556" s="22" t="s">
        <v>84</v>
      </c>
      <c r="F556" s="44" t="s">
        <v>796</v>
      </c>
      <c r="G556" s="44" t="s">
        <v>1235</v>
      </c>
    </row>
    <row r="557" spans="2:7" ht="14.25">
      <c r="B557" s="22">
        <v>556</v>
      </c>
      <c r="C557" s="22" t="s">
        <v>524</v>
      </c>
      <c r="D557" s="22" t="s">
        <v>476</v>
      </c>
      <c r="E557" s="22" t="s">
        <v>84</v>
      </c>
      <c r="F557" s="44" t="s">
        <v>796</v>
      </c>
      <c r="G557" s="44" t="s">
        <v>1236</v>
      </c>
    </row>
    <row r="558" spans="2:7" ht="14.25">
      <c r="B558" s="22">
        <v>557</v>
      </c>
      <c r="C558" s="22" t="s">
        <v>525</v>
      </c>
      <c r="D558" s="22" t="s">
        <v>476</v>
      </c>
      <c r="E558" s="22" t="s">
        <v>84</v>
      </c>
      <c r="F558" s="44" t="s">
        <v>796</v>
      </c>
      <c r="G558" s="44" t="s">
        <v>1237</v>
      </c>
    </row>
    <row r="559" spans="2:7" ht="14.25">
      <c r="B559" s="22">
        <v>558</v>
      </c>
      <c r="C559" s="22" t="s">
        <v>526</v>
      </c>
      <c r="D559" s="22" t="s">
        <v>476</v>
      </c>
      <c r="E559" s="22" t="s">
        <v>84</v>
      </c>
      <c r="F559" s="44" t="s">
        <v>798</v>
      </c>
    </row>
    <row r="560" spans="2:7" ht="14.25">
      <c r="B560" s="22">
        <v>559</v>
      </c>
      <c r="C560" s="22" t="s">
        <v>527</v>
      </c>
      <c r="D560" s="22" t="s">
        <v>476</v>
      </c>
      <c r="E560" s="22" t="s">
        <v>84</v>
      </c>
      <c r="F560" s="44" t="s">
        <v>797</v>
      </c>
      <c r="G560" s="44" t="s">
        <v>1238</v>
      </c>
    </row>
    <row r="561" spans="2:7" ht="14.25">
      <c r="B561" s="22">
        <v>560</v>
      </c>
      <c r="C561" s="22" t="s">
        <v>528</v>
      </c>
      <c r="D561" s="22" t="s">
        <v>476</v>
      </c>
      <c r="E561" s="22" t="s">
        <v>84</v>
      </c>
      <c r="F561" s="44" t="s">
        <v>796</v>
      </c>
      <c r="G561" s="44" t="s">
        <v>1239</v>
      </c>
    </row>
    <row r="562" spans="2:7" ht="14.25">
      <c r="B562" s="22">
        <v>561</v>
      </c>
      <c r="C562" s="22" t="s">
        <v>529</v>
      </c>
      <c r="D562" s="22" t="s">
        <v>476</v>
      </c>
      <c r="E562" s="22" t="s">
        <v>84</v>
      </c>
      <c r="F562" s="44" t="s">
        <v>796</v>
      </c>
      <c r="G562" s="44" t="s">
        <v>1240</v>
      </c>
    </row>
    <row r="563" spans="2:7" ht="14.25">
      <c r="B563" s="22">
        <v>562</v>
      </c>
      <c r="C563" s="22" t="s">
        <v>530</v>
      </c>
      <c r="D563" s="22" t="s">
        <v>476</v>
      </c>
      <c r="E563" s="22" t="s">
        <v>84</v>
      </c>
      <c r="F563" s="44" t="s">
        <v>797</v>
      </c>
      <c r="G563" s="44" t="s">
        <v>1241</v>
      </c>
    </row>
    <row r="564" spans="2:7" ht="14.25">
      <c r="B564" s="22">
        <v>563</v>
      </c>
      <c r="C564" s="22" t="s">
        <v>531</v>
      </c>
      <c r="D564" s="22" t="s">
        <v>476</v>
      </c>
      <c r="E564" s="22" t="s">
        <v>84</v>
      </c>
      <c r="F564" s="44" t="s">
        <v>796</v>
      </c>
      <c r="G564" s="44" t="s">
        <v>1242</v>
      </c>
    </row>
    <row r="565" spans="2:7" ht="14.25">
      <c r="B565" s="22">
        <v>564</v>
      </c>
      <c r="C565" s="22" t="s">
        <v>532</v>
      </c>
      <c r="D565" s="22" t="s">
        <v>476</v>
      </c>
      <c r="E565" s="22" t="s">
        <v>105</v>
      </c>
      <c r="F565" s="44" t="s">
        <v>798</v>
      </c>
    </row>
    <row r="566" spans="2:7" ht="14.25">
      <c r="B566" s="22">
        <v>565</v>
      </c>
      <c r="C566" s="22" t="s">
        <v>533</v>
      </c>
      <c r="D566" s="22" t="s">
        <v>476</v>
      </c>
      <c r="E566" s="22" t="s">
        <v>105</v>
      </c>
      <c r="F566" s="44" t="s">
        <v>796</v>
      </c>
      <c r="G566" s="44" t="s">
        <v>1243</v>
      </c>
    </row>
    <row r="567" spans="2:7" ht="14.25">
      <c r="B567" s="22">
        <v>566</v>
      </c>
      <c r="C567" s="22" t="s">
        <v>534</v>
      </c>
      <c r="D567" s="22" t="s">
        <v>476</v>
      </c>
      <c r="E567" s="22" t="s">
        <v>105</v>
      </c>
      <c r="F567" s="44" t="s">
        <v>796</v>
      </c>
      <c r="G567" s="44" t="s">
        <v>1244</v>
      </c>
    </row>
    <row r="568" spans="2:7" ht="14.25">
      <c r="B568" s="22">
        <v>567</v>
      </c>
      <c r="C568" s="22" t="s">
        <v>535</v>
      </c>
      <c r="D568" s="22" t="s">
        <v>476</v>
      </c>
      <c r="E568" s="22" t="s">
        <v>105</v>
      </c>
      <c r="F568" s="44" t="s">
        <v>798</v>
      </c>
      <c r="G568" s="44" t="s">
        <v>1245</v>
      </c>
    </row>
    <row r="569" spans="2:7" ht="14.25">
      <c r="B569" s="22">
        <v>568</v>
      </c>
      <c r="C569" s="22" t="s">
        <v>254</v>
      </c>
      <c r="D569" s="22" t="s">
        <v>536</v>
      </c>
      <c r="E569" s="22" t="s">
        <v>36</v>
      </c>
      <c r="F569" t="s">
        <v>796</v>
      </c>
      <c r="G569" s="44" t="s">
        <v>1005</v>
      </c>
    </row>
    <row r="570" spans="2:7" ht="14.25">
      <c r="B570" s="22">
        <v>569</v>
      </c>
      <c r="C570" s="22" t="s">
        <v>537</v>
      </c>
      <c r="D570" s="22" t="s">
        <v>536</v>
      </c>
      <c r="E570" s="22" t="s">
        <v>36</v>
      </c>
      <c r="F570" t="s">
        <v>796</v>
      </c>
      <c r="G570" s="44" t="s">
        <v>1246</v>
      </c>
    </row>
    <row r="571" spans="2:7" ht="14.25">
      <c r="B571" s="22">
        <v>570</v>
      </c>
      <c r="C571" s="22" t="s">
        <v>538</v>
      </c>
      <c r="D571" s="22" t="s">
        <v>536</v>
      </c>
      <c r="E571" s="22" t="s">
        <v>36</v>
      </c>
      <c r="F571" t="s">
        <v>798</v>
      </c>
      <c r="G571" s="44" t="s">
        <v>1247</v>
      </c>
    </row>
    <row r="572" spans="2:7" ht="14.25">
      <c r="B572" s="22">
        <v>571</v>
      </c>
      <c r="C572" s="22" t="s">
        <v>73</v>
      </c>
      <c r="D572" s="22" t="s">
        <v>536</v>
      </c>
      <c r="E572" s="22" t="s">
        <v>36</v>
      </c>
      <c r="F572" t="s">
        <v>796</v>
      </c>
      <c r="G572" s="44" t="s">
        <v>835</v>
      </c>
    </row>
    <row r="573" spans="2:7" ht="14.25">
      <c r="B573" s="22">
        <v>572</v>
      </c>
      <c r="C573" s="22" t="s">
        <v>90</v>
      </c>
      <c r="D573" s="22" t="s">
        <v>536</v>
      </c>
      <c r="E573" s="22" t="s">
        <v>36</v>
      </c>
      <c r="F573" t="s">
        <v>797</v>
      </c>
      <c r="G573" s="44" t="s">
        <v>851</v>
      </c>
    </row>
    <row r="574" spans="2:7" ht="14.25">
      <c r="B574" s="22">
        <v>573</v>
      </c>
      <c r="C574" s="22" t="s">
        <v>309</v>
      </c>
      <c r="D574" s="22" t="s">
        <v>536</v>
      </c>
      <c r="E574" s="22" t="s">
        <v>36</v>
      </c>
      <c r="F574" t="s">
        <v>796</v>
      </c>
      <c r="G574" s="44" t="s">
        <v>1052</v>
      </c>
    </row>
    <row r="575" spans="2:7" ht="14.25">
      <c r="B575" s="22">
        <v>574</v>
      </c>
      <c r="C575" s="22" t="s">
        <v>539</v>
      </c>
      <c r="D575" s="22" t="s">
        <v>536</v>
      </c>
      <c r="E575" s="22" t="s">
        <v>36</v>
      </c>
      <c r="F575" t="s">
        <v>798</v>
      </c>
    </row>
    <row r="576" spans="2:7" ht="14.25">
      <c r="B576" s="22">
        <v>575</v>
      </c>
      <c r="C576" s="22" t="s">
        <v>540</v>
      </c>
      <c r="D576" s="22" t="s">
        <v>536</v>
      </c>
      <c r="E576" s="22" t="s">
        <v>36</v>
      </c>
      <c r="F576" t="s">
        <v>798</v>
      </c>
    </row>
    <row r="577" spans="2:7" ht="14.25">
      <c r="B577" s="22">
        <v>576</v>
      </c>
      <c r="C577" s="22" t="s">
        <v>541</v>
      </c>
      <c r="D577" s="22" t="s">
        <v>536</v>
      </c>
      <c r="E577" s="22" t="s">
        <v>36</v>
      </c>
      <c r="F577" t="s">
        <v>797</v>
      </c>
      <c r="G577" t="s">
        <v>1248</v>
      </c>
    </row>
    <row r="578" spans="2:7" ht="14.25">
      <c r="B578" s="22">
        <v>577</v>
      </c>
      <c r="C578" s="22" t="s">
        <v>542</v>
      </c>
      <c r="D578" s="22" t="s">
        <v>536</v>
      </c>
      <c r="E578" s="22" t="s">
        <v>36</v>
      </c>
      <c r="F578" t="s">
        <v>798</v>
      </c>
      <c r="G578" t="s">
        <v>1249</v>
      </c>
    </row>
    <row r="579" spans="2:7" ht="14.25">
      <c r="B579" s="22">
        <v>578</v>
      </c>
      <c r="C579" s="22" t="s">
        <v>45</v>
      </c>
      <c r="D579" s="22" t="s">
        <v>536</v>
      </c>
      <c r="E579" s="22" t="s">
        <v>36</v>
      </c>
      <c r="F579" t="s">
        <v>798</v>
      </c>
    </row>
    <row r="580" spans="2:7" ht="14.25">
      <c r="B580" s="22">
        <v>579</v>
      </c>
      <c r="C580" s="22" t="s">
        <v>543</v>
      </c>
      <c r="D580" s="22" t="s">
        <v>536</v>
      </c>
      <c r="E580" s="22" t="s">
        <v>36</v>
      </c>
      <c r="F580" t="s">
        <v>798</v>
      </c>
    </row>
    <row r="581" spans="2:7" ht="14.25">
      <c r="B581" s="22">
        <v>580</v>
      </c>
      <c r="C581" s="22" t="s">
        <v>251</v>
      </c>
      <c r="D581" s="22" t="s">
        <v>536</v>
      </c>
      <c r="E581" s="22" t="s">
        <v>36</v>
      </c>
      <c r="F581" t="s">
        <v>797</v>
      </c>
      <c r="G581" t="s">
        <v>1001</v>
      </c>
    </row>
    <row r="582" spans="2:7" ht="14.25">
      <c r="B582" s="22">
        <v>581</v>
      </c>
      <c r="C582" s="22" t="s">
        <v>56</v>
      </c>
      <c r="D582" s="22" t="s">
        <v>536</v>
      </c>
      <c r="E582" s="22" t="s">
        <v>36</v>
      </c>
      <c r="F582" t="s">
        <v>796</v>
      </c>
      <c r="G582" t="s">
        <v>819</v>
      </c>
    </row>
    <row r="583" spans="2:7" ht="14.25">
      <c r="B583" s="22">
        <v>582</v>
      </c>
      <c r="C583" s="22" t="s">
        <v>544</v>
      </c>
      <c r="D583" s="22" t="s">
        <v>536</v>
      </c>
      <c r="E583" s="22" t="s">
        <v>36</v>
      </c>
      <c r="F583" t="s">
        <v>796</v>
      </c>
      <c r="G583" t="s">
        <v>1250</v>
      </c>
    </row>
    <row r="584" spans="2:7" ht="14.25">
      <c r="B584" s="22">
        <v>583</v>
      </c>
      <c r="C584" s="22" t="s">
        <v>545</v>
      </c>
      <c r="D584" s="22" t="s">
        <v>536</v>
      </c>
      <c r="E584" s="22" t="s">
        <v>36</v>
      </c>
      <c r="F584" t="s">
        <v>796</v>
      </c>
      <c r="G584" t="s">
        <v>1251</v>
      </c>
    </row>
    <row r="585" spans="2:7" ht="14.25">
      <c r="B585" s="22">
        <v>584</v>
      </c>
      <c r="C585" s="22" t="s">
        <v>546</v>
      </c>
      <c r="D585" s="22" t="s">
        <v>536</v>
      </c>
      <c r="E585" s="22" t="s">
        <v>36</v>
      </c>
      <c r="F585" t="s">
        <v>796</v>
      </c>
      <c r="G585" t="s">
        <v>1252</v>
      </c>
    </row>
    <row r="586" spans="2:7" ht="14.25">
      <c r="B586" s="22">
        <v>585</v>
      </c>
      <c r="C586" s="22" t="s">
        <v>547</v>
      </c>
      <c r="D586" s="22" t="s">
        <v>536</v>
      </c>
      <c r="E586" s="22" t="s">
        <v>36</v>
      </c>
      <c r="F586" t="s">
        <v>796</v>
      </c>
      <c r="G586" t="s">
        <v>1253</v>
      </c>
    </row>
    <row r="587" spans="2:7" ht="14.25">
      <c r="B587" s="22">
        <v>586</v>
      </c>
      <c r="C587" s="22" t="s">
        <v>231</v>
      </c>
      <c r="D587" s="22" t="s">
        <v>536</v>
      </c>
      <c r="E587" s="22" t="s">
        <v>36</v>
      </c>
      <c r="F587" t="s">
        <v>796</v>
      </c>
      <c r="G587" t="s">
        <v>980</v>
      </c>
    </row>
    <row r="588" spans="2:7" ht="14.25">
      <c r="B588" s="22">
        <v>587</v>
      </c>
      <c r="C588" s="22" t="s">
        <v>548</v>
      </c>
      <c r="D588" s="22" t="s">
        <v>536</v>
      </c>
      <c r="E588" s="22" t="s">
        <v>36</v>
      </c>
      <c r="F588" t="s">
        <v>798</v>
      </c>
    </row>
    <row r="589" spans="2:7" ht="14.25">
      <c r="B589" s="22">
        <v>588</v>
      </c>
      <c r="C589" s="22" t="s">
        <v>549</v>
      </c>
      <c r="D589" s="22" t="s">
        <v>536</v>
      </c>
      <c r="E589" s="22" t="s">
        <v>36</v>
      </c>
      <c r="F589" t="s">
        <v>798</v>
      </c>
    </row>
    <row r="590" spans="2:7" ht="14.25">
      <c r="B590" s="22">
        <v>589</v>
      </c>
      <c r="C590" s="22" t="s">
        <v>550</v>
      </c>
      <c r="D590" s="22" t="s">
        <v>536</v>
      </c>
      <c r="E590" s="22" t="s">
        <v>36</v>
      </c>
      <c r="F590" t="s">
        <v>797</v>
      </c>
      <c r="G590" t="s">
        <v>1254</v>
      </c>
    </row>
    <row r="591" spans="2:7" ht="14.25">
      <c r="B591" s="22">
        <v>590</v>
      </c>
      <c r="C591" s="22" t="s">
        <v>551</v>
      </c>
      <c r="D591" s="22" t="s">
        <v>536</v>
      </c>
      <c r="E591" s="22" t="s">
        <v>60</v>
      </c>
      <c r="F591" s="44" t="s">
        <v>796</v>
      </c>
      <c r="G591" s="44" t="s">
        <v>1255</v>
      </c>
    </row>
    <row r="592" spans="2:7" ht="14.25">
      <c r="B592" s="22">
        <v>591</v>
      </c>
      <c r="C592" s="22" t="s">
        <v>552</v>
      </c>
      <c r="D592" s="22" t="s">
        <v>536</v>
      </c>
      <c r="E592" s="22" t="s">
        <v>60</v>
      </c>
      <c r="F592" s="44" t="s">
        <v>796</v>
      </c>
      <c r="G592" s="44" t="s">
        <v>1256</v>
      </c>
    </row>
    <row r="593" spans="2:7" ht="14.25">
      <c r="B593" s="22">
        <v>592</v>
      </c>
      <c r="C593" s="22" t="s">
        <v>553</v>
      </c>
      <c r="D593" s="22" t="s">
        <v>536</v>
      </c>
      <c r="E593" s="22" t="s">
        <v>60</v>
      </c>
      <c r="F593" s="44" t="s">
        <v>796</v>
      </c>
      <c r="G593" s="44" t="s">
        <v>1257</v>
      </c>
    </row>
    <row r="594" spans="2:7" ht="14.25">
      <c r="B594" s="22">
        <v>593</v>
      </c>
      <c r="C594" s="22" t="s">
        <v>525</v>
      </c>
      <c r="D594" s="22" t="s">
        <v>536</v>
      </c>
      <c r="E594" s="22" t="s">
        <v>60</v>
      </c>
      <c r="F594" s="44" t="s">
        <v>796</v>
      </c>
      <c r="G594" s="44" t="s">
        <v>1237</v>
      </c>
    </row>
    <row r="595" spans="2:7" ht="14.25">
      <c r="B595" s="22">
        <v>594</v>
      </c>
      <c r="C595" s="22" t="s">
        <v>308</v>
      </c>
      <c r="D595" s="22" t="s">
        <v>536</v>
      </c>
      <c r="E595" s="22" t="s">
        <v>60</v>
      </c>
      <c r="F595" s="44" t="s">
        <v>796</v>
      </c>
      <c r="G595" s="44" t="s">
        <v>1051</v>
      </c>
    </row>
    <row r="596" spans="2:7" ht="14.25">
      <c r="B596" s="22">
        <v>595</v>
      </c>
      <c r="C596" s="22" t="s">
        <v>339</v>
      </c>
      <c r="D596" s="22" t="s">
        <v>536</v>
      </c>
      <c r="E596" s="22" t="s">
        <v>60</v>
      </c>
      <c r="F596" s="44" t="s">
        <v>797</v>
      </c>
      <c r="G596" s="44" t="s">
        <v>1258</v>
      </c>
    </row>
    <row r="597" spans="2:7" ht="14.25">
      <c r="B597" s="22">
        <v>596</v>
      </c>
      <c r="C597" s="22" t="s">
        <v>554</v>
      </c>
      <c r="D597" s="22" t="s">
        <v>536</v>
      </c>
      <c r="E597" s="22" t="s">
        <v>60</v>
      </c>
      <c r="F597" s="44" t="s">
        <v>796</v>
      </c>
      <c r="G597" s="44" t="s">
        <v>1259</v>
      </c>
    </row>
    <row r="598" spans="2:7" ht="14.25">
      <c r="B598" s="22">
        <v>597</v>
      </c>
      <c r="C598" s="22" t="s">
        <v>555</v>
      </c>
      <c r="D598" s="22" t="s">
        <v>536</v>
      </c>
      <c r="E598" s="22" t="s">
        <v>60</v>
      </c>
      <c r="F598" s="44" t="s">
        <v>796</v>
      </c>
      <c r="G598" s="44" t="s">
        <v>1260</v>
      </c>
    </row>
    <row r="599" spans="2:7" ht="14.25">
      <c r="B599" s="22">
        <v>598</v>
      </c>
      <c r="C599" s="22" t="s">
        <v>349</v>
      </c>
      <c r="D599" s="22" t="s">
        <v>536</v>
      </c>
      <c r="E599" s="22" t="s">
        <v>60</v>
      </c>
      <c r="F599" s="44" t="s">
        <v>796</v>
      </c>
      <c r="G599" s="44" t="s">
        <v>1092</v>
      </c>
    </row>
    <row r="600" spans="2:7" ht="14.25">
      <c r="B600" s="22">
        <v>599</v>
      </c>
      <c r="C600" s="22" t="s">
        <v>313</v>
      </c>
      <c r="D600" s="22" t="s">
        <v>536</v>
      </c>
      <c r="E600" s="22" t="s">
        <v>60</v>
      </c>
      <c r="F600" s="44" t="s">
        <v>796</v>
      </c>
      <c r="G600" s="44" t="s">
        <v>1057</v>
      </c>
    </row>
    <row r="601" spans="2:7" ht="14.25">
      <c r="B601" s="22">
        <v>600</v>
      </c>
      <c r="C601" s="22" t="s">
        <v>556</v>
      </c>
      <c r="D601" s="22" t="s">
        <v>536</v>
      </c>
      <c r="E601" s="22" t="s">
        <v>60</v>
      </c>
      <c r="F601" s="44" t="s">
        <v>796</v>
      </c>
      <c r="G601" s="44" t="s">
        <v>1261</v>
      </c>
    </row>
    <row r="602" spans="2:7" ht="14.25">
      <c r="B602" s="22">
        <v>601</v>
      </c>
      <c r="C602" s="22" t="s">
        <v>557</v>
      </c>
      <c r="D602" s="22" t="s">
        <v>536</v>
      </c>
      <c r="E602" s="22" t="s">
        <v>60</v>
      </c>
      <c r="F602" s="44" t="s">
        <v>796</v>
      </c>
      <c r="G602" s="44" t="s">
        <v>1262</v>
      </c>
    </row>
    <row r="603" spans="2:7" ht="14.25">
      <c r="B603" s="22">
        <v>602</v>
      </c>
      <c r="C603" s="22" t="s">
        <v>558</v>
      </c>
      <c r="D603" s="22" t="s">
        <v>536</v>
      </c>
      <c r="E603" s="22" t="s">
        <v>60</v>
      </c>
      <c r="F603" s="44" t="s">
        <v>798</v>
      </c>
      <c r="G603" s="44" t="s">
        <v>1263</v>
      </c>
    </row>
    <row r="604" spans="2:7" ht="14.25">
      <c r="B604" s="22">
        <v>603</v>
      </c>
      <c r="C604" s="22" t="s">
        <v>559</v>
      </c>
      <c r="D604" s="22" t="s">
        <v>536</v>
      </c>
      <c r="E604" s="22" t="s">
        <v>60</v>
      </c>
      <c r="F604" s="44" t="s">
        <v>796</v>
      </c>
      <c r="G604" s="44" t="s">
        <v>1264</v>
      </c>
    </row>
    <row r="605" spans="2:7" ht="14.25">
      <c r="B605" s="22">
        <v>604</v>
      </c>
      <c r="C605" s="22" t="s">
        <v>560</v>
      </c>
      <c r="D605" s="22" t="s">
        <v>536</v>
      </c>
      <c r="E605" s="22" t="s">
        <v>60</v>
      </c>
      <c r="F605" s="44" t="s">
        <v>796</v>
      </c>
      <c r="G605" s="44" t="s">
        <v>1234</v>
      </c>
    </row>
    <row r="606" spans="2:7" ht="14.25">
      <c r="B606" s="22">
        <v>605</v>
      </c>
      <c r="C606" s="22" t="s">
        <v>561</v>
      </c>
      <c r="D606" s="22" t="s">
        <v>536</v>
      </c>
      <c r="E606" s="22" t="s">
        <v>60</v>
      </c>
      <c r="F606" s="44" t="s">
        <v>798</v>
      </c>
      <c r="G606" s="44" t="s">
        <v>1265</v>
      </c>
    </row>
    <row r="607" spans="2:7" ht="14.25">
      <c r="B607" s="22">
        <v>606</v>
      </c>
      <c r="C607" s="22" t="s">
        <v>562</v>
      </c>
      <c r="D607" s="22" t="s">
        <v>536</v>
      </c>
      <c r="E607" s="22" t="s">
        <v>60</v>
      </c>
      <c r="F607" s="44" t="s">
        <v>798</v>
      </c>
    </row>
    <row r="608" spans="2:7" ht="14.25">
      <c r="B608" s="22">
        <v>607</v>
      </c>
      <c r="C608" s="22" t="s">
        <v>563</v>
      </c>
      <c r="D608" s="22" t="s">
        <v>536</v>
      </c>
      <c r="E608" s="22" t="s">
        <v>60</v>
      </c>
      <c r="F608" s="44" t="s">
        <v>798</v>
      </c>
      <c r="G608" s="44" t="s">
        <v>1266</v>
      </c>
    </row>
    <row r="609" spans="2:7" ht="14.25">
      <c r="B609" s="22">
        <v>608</v>
      </c>
      <c r="C609" s="22" t="s">
        <v>564</v>
      </c>
      <c r="D609" s="22" t="s">
        <v>536</v>
      </c>
      <c r="E609" s="22" t="s">
        <v>60</v>
      </c>
      <c r="F609" s="44" t="s">
        <v>796</v>
      </c>
      <c r="G609" s="44" t="s">
        <v>814</v>
      </c>
    </row>
    <row r="610" spans="2:7" ht="14.25">
      <c r="B610" s="22">
        <v>609</v>
      </c>
      <c r="C610" s="22" t="s">
        <v>565</v>
      </c>
      <c r="D610" s="22" t="s">
        <v>536</v>
      </c>
      <c r="E610" s="22" t="s">
        <v>60</v>
      </c>
      <c r="F610" s="44" t="s">
        <v>796</v>
      </c>
      <c r="G610" s="44" t="s">
        <v>815</v>
      </c>
    </row>
    <row r="611" spans="2:7" ht="14.25">
      <c r="B611" s="22">
        <v>610</v>
      </c>
      <c r="C611" s="22" t="s">
        <v>566</v>
      </c>
      <c r="D611" s="22" t="s">
        <v>536</v>
      </c>
      <c r="E611" s="22" t="s">
        <v>60</v>
      </c>
      <c r="F611" s="44" t="s">
        <v>798</v>
      </c>
    </row>
    <row r="612" spans="2:7" ht="14.25">
      <c r="B612" s="22">
        <v>611</v>
      </c>
      <c r="C612" s="22" t="s">
        <v>567</v>
      </c>
      <c r="D612" s="22" t="s">
        <v>536</v>
      </c>
      <c r="E612" s="22" t="s">
        <v>60</v>
      </c>
      <c r="F612" s="44" t="s">
        <v>798</v>
      </c>
    </row>
    <row r="613" spans="2:7" ht="14.25">
      <c r="B613" s="22">
        <v>612</v>
      </c>
      <c r="C613" s="22" t="s">
        <v>568</v>
      </c>
      <c r="D613" s="22" t="s">
        <v>536</v>
      </c>
      <c r="E613" s="22" t="s">
        <v>60</v>
      </c>
      <c r="F613" s="44" t="s">
        <v>796</v>
      </c>
      <c r="G613" s="44" t="s">
        <v>1267</v>
      </c>
    </row>
    <row r="614" spans="2:7" ht="14.25">
      <c r="B614" s="22">
        <v>613</v>
      </c>
      <c r="C614" s="22" t="s">
        <v>569</v>
      </c>
      <c r="D614" s="22" t="s">
        <v>536</v>
      </c>
      <c r="E614" s="22" t="s">
        <v>60</v>
      </c>
      <c r="F614" s="44" t="s">
        <v>797</v>
      </c>
      <c r="G614" s="44" t="s">
        <v>1268</v>
      </c>
    </row>
    <row r="615" spans="2:7" ht="14.25">
      <c r="B615" s="22">
        <v>614</v>
      </c>
      <c r="C615" s="22" t="s">
        <v>570</v>
      </c>
      <c r="D615" s="22" t="s">
        <v>536</v>
      </c>
      <c r="E615" s="22" t="s">
        <v>60</v>
      </c>
      <c r="F615" s="44" t="s">
        <v>796</v>
      </c>
      <c r="G615" s="44" t="s">
        <v>1269</v>
      </c>
    </row>
    <row r="616" spans="2:7" ht="14.25">
      <c r="B616" s="22">
        <v>615</v>
      </c>
      <c r="C616" s="22" t="s">
        <v>571</v>
      </c>
      <c r="D616" s="22" t="s">
        <v>536</v>
      </c>
      <c r="E616" s="22" t="s">
        <v>60</v>
      </c>
      <c r="F616" s="44" t="s">
        <v>797</v>
      </c>
      <c r="G616" s="44" t="s">
        <v>1270</v>
      </c>
    </row>
    <row r="617" spans="2:7" ht="14.25">
      <c r="B617" s="22">
        <v>616</v>
      </c>
      <c r="C617" s="22" t="s">
        <v>572</v>
      </c>
      <c r="D617" s="22" t="s">
        <v>536</v>
      </c>
      <c r="E617" s="22" t="s">
        <v>60</v>
      </c>
      <c r="F617" s="44" t="s">
        <v>798</v>
      </c>
    </row>
    <row r="618" spans="2:7" ht="14.25">
      <c r="B618" s="22">
        <v>617</v>
      </c>
      <c r="C618" s="22" t="s">
        <v>309</v>
      </c>
      <c r="D618" s="22" t="s">
        <v>536</v>
      </c>
      <c r="E618" s="22" t="s">
        <v>60</v>
      </c>
      <c r="F618" s="44" t="s">
        <v>796</v>
      </c>
      <c r="G618" s="44" t="s">
        <v>1052</v>
      </c>
    </row>
    <row r="619" spans="2:7" ht="14.25">
      <c r="B619" s="22">
        <v>618</v>
      </c>
      <c r="C619" s="22" t="s">
        <v>573</v>
      </c>
      <c r="D619" s="22" t="s">
        <v>536</v>
      </c>
      <c r="E619" s="22" t="s">
        <v>60</v>
      </c>
      <c r="F619" s="44" t="s">
        <v>798</v>
      </c>
    </row>
    <row r="620" spans="2:7" ht="14.25">
      <c r="B620" s="22">
        <v>619</v>
      </c>
      <c r="C620" s="22" t="s">
        <v>574</v>
      </c>
      <c r="D620" s="22" t="s">
        <v>536</v>
      </c>
      <c r="E620" s="22" t="s">
        <v>60</v>
      </c>
      <c r="F620" s="44" t="s">
        <v>796</v>
      </c>
      <c r="G620" s="44" t="s">
        <v>1271</v>
      </c>
    </row>
    <row r="621" spans="2:7" ht="14.25">
      <c r="B621" s="22">
        <v>620</v>
      </c>
      <c r="C621" s="22" t="s">
        <v>575</v>
      </c>
      <c r="D621" s="22" t="s">
        <v>536</v>
      </c>
      <c r="E621" s="22" t="s">
        <v>60</v>
      </c>
      <c r="F621" s="44" t="s">
        <v>796</v>
      </c>
      <c r="G621" s="44" t="s">
        <v>1272</v>
      </c>
    </row>
    <row r="622" spans="2:7" ht="14.25">
      <c r="B622" s="22">
        <v>621</v>
      </c>
      <c r="C622" s="22" t="s">
        <v>576</v>
      </c>
      <c r="D622" s="22" t="s">
        <v>536</v>
      </c>
      <c r="E622" s="22" t="s">
        <v>84</v>
      </c>
      <c r="F622" s="44" t="s">
        <v>798</v>
      </c>
    </row>
    <row r="623" spans="2:7" ht="14.25">
      <c r="B623" s="22">
        <v>622</v>
      </c>
      <c r="C623" s="22" t="s">
        <v>577</v>
      </c>
      <c r="D623" s="22" t="s">
        <v>536</v>
      </c>
      <c r="E623" s="22" t="s">
        <v>84</v>
      </c>
      <c r="F623" s="44" t="s">
        <v>796</v>
      </c>
      <c r="G623" s="44" t="s">
        <v>1273</v>
      </c>
    </row>
    <row r="624" spans="2:7" ht="14.25">
      <c r="B624" s="22">
        <v>623</v>
      </c>
      <c r="C624" s="22" t="s">
        <v>578</v>
      </c>
      <c r="D624" s="22" t="s">
        <v>536</v>
      </c>
      <c r="E624" s="22" t="s">
        <v>84</v>
      </c>
      <c r="F624" s="44" t="s">
        <v>798</v>
      </c>
      <c r="G624" s="44" t="s">
        <v>1274</v>
      </c>
    </row>
    <row r="625" spans="2:7" ht="14.25">
      <c r="B625" s="22">
        <v>624</v>
      </c>
      <c r="C625" s="22" t="s">
        <v>579</v>
      </c>
      <c r="D625" s="22" t="s">
        <v>536</v>
      </c>
      <c r="E625" s="22" t="s">
        <v>84</v>
      </c>
      <c r="F625" s="44" t="s">
        <v>798</v>
      </c>
    </row>
    <row r="626" spans="2:7" ht="14.25">
      <c r="B626" s="22">
        <v>625</v>
      </c>
      <c r="C626" s="22" t="s">
        <v>580</v>
      </c>
      <c r="D626" s="22" t="s">
        <v>536</v>
      </c>
      <c r="E626" s="22" t="s">
        <v>84</v>
      </c>
      <c r="F626" s="44" t="s">
        <v>796</v>
      </c>
      <c r="G626" s="44" t="s">
        <v>1275</v>
      </c>
    </row>
    <row r="627" spans="2:7" ht="14.25">
      <c r="B627" s="22">
        <v>626</v>
      </c>
      <c r="C627" s="22" t="s">
        <v>301</v>
      </c>
      <c r="D627" s="22" t="s">
        <v>536</v>
      </c>
      <c r="E627" s="22" t="s">
        <v>84</v>
      </c>
      <c r="F627" s="44" t="s">
        <v>796</v>
      </c>
      <c r="G627" s="44" t="s">
        <v>1045</v>
      </c>
    </row>
    <row r="628" spans="2:7" ht="14.25">
      <c r="B628" s="22">
        <v>627</v>
      </c>
      <c r="C628" s="22" t="s">
        <v>581</v>
      </c>
      <c r="D628" s="22" t="s">
        <v>536</v>
      </c>
      <c r="E628" s="22" t="s">
        <v>84</v>
      </c>
      <c r="F628" s="44" t="s">
        <v>798</v>
      </c>
    </row>
    <row r="629" spans="2:7" ht="14.25">
      <c r="B629" s="22">
        <v>628</v>
      </c>
      <c r="C629" s="22" t="s">
        <v>582</v>
      </c>
      <c r="D629" s="22" t="s">
        <v>536</v>
      </c>
      <c r="E629" s="22" t="s">
        <v>84</v>
      </c>
      <c r="F629" s="44" t="s">
        <v>798</v>
      </c>
    </row>
    <row r="630" spans="2:7" ht="14.25">
      <c r="B630" s="22">
        <v>629</v>
      </c>
      <c r="C630" s="22" t="s">
        <v>583</v>
      </c>
      <c r="D630" s="22" t="s">
        <v>536</v>
      </c>
      <c r="E630" s="22" t="s">
        <v>84</v>
      </c>
      <c r="F630" s="44" t="s">
        <v>798</v>
      </c>
    </row>
    <row r="631" spans="2:7" ht="14.25">
      <c r="B631" s="22">
        <v>630</v>
      </c>
      <c r="C631" s="22" t="s">
        <v>584</v>
      </c>
      <c r="D631" s="22" t="s">
        <v>536</v>
      </c>
      <c r="E631" s="22" t="s">
        <v>84</v>
      </c>
      <c r="F631" s="44" t="s">
        <v>797</v>
      </c>
      <c r="G631" s="44" t="s">
        <v>1276</v>
      </c>
    </row>
    <row r="632" spans="2:7" ht="14.25">
      <c r="B632" s="22">
        <v>631</v>
      </c>
      <c r="C632" s="22" t="s">
        <v>585</v>
      </c>
      <c r="D632" s="22" t="s">
        <v>536</v>
      </c>
      <c r="E632" s="22" t="s">
        <v>84</v>
      </c>
      <c r="F632" s="22" t="s">
        <v>796</v>
      </c>
      <c r="G632" s="44" t="s">
        <v>1277</v>
      </c>
    </row>
    <row r="633" spans="2:7" ht="14.25">
      <c r="B633" s="22">
        <v>632</v>
      </c>
      <c r="C633" s="22" t="s">
        <v>586</v>
      </c>
      <c r="D633" s="22" t="s">
        <v>536</v>
      </c>
      <c r="E633" s="22" t="s">
        <v>84</v>
      </c>
      <c r="F633" s="44" t="s">
        <v>798</v>
      </c>
      <c r="G633" s="44" t="s">
        <v>1278</v>
      </c>
    </row>
    <row r="634" spans="2:7" ht="14.25">
      <c r="B634" s="22">
        <v>633</v>
      </c>
      <c r="C634" s="22" t="s">
        <v>261</v>
      </c>
      <c r="D634" s="22" t="s">
        <v>536</v>
      </c>
      <c r="E634" s="22" t="s">
        <v>84</v>
      </c>
      <c r="F634" s="44" t="s">
        <v>798</v>
      </c>
    </row>
    <row r="635" spans="2:7" ht="14.25">
      <c r="B635" s="22">
        <v>634</v>
      </c>
      <c r="C635" s="22" t="s">
        <v>587</v>
      </c>
      <c r="D635" s="22" t="s">
        <v>536</v>
      </c>
      <c r="E635" s="22" t="s">
        <v>84</v>
      </c>
      <c r="F635" s="44" t="s">
        <v>796</v>
      </c>
      <c r="G635" s="44" t="s">
        <v>1279</v>
      </c>
    </row>
    <row r="636" spans="2:7" ht="14.25">
      <c r="B636" s="22">
        <v>635</v>
      </c>
      <c r="C636" s="22" t="s">
        <v>588</v>
      </c>
      <c r="D636" s="22" t="s">
        <v>536</v>
      </c>
      <c r="E636" s="22" t="s">
        <v>84</v>
      </c>
      <c r="F636" s="44" t="s">
        <v>798</v>
      </c>
    </row>
    <row r="637" spans="2:7" ht="14.25">
      <c r="B637" s="22">
        <v>636</v>
      </c>
      <c r="C637" s="22" t="s">
        <v>589</v>
      </c>
      <c r="D637" s="22" t="s">
        <v>536</v>
      </c>
      <c r="E637" s="22" t="s">
        <v>84</v>
      </c>
      <c r="F637" s="44" t="s">
        <v>798</v>
      </c>
      <c r="G637" s="44" t="s">
        <v>1280</v>
      </c>
    </row>
    <row r="638" spans="2:7" ht="14.25">
      <c r="B638" s="22">
        <v>637</v>
      </c>
      <c r="C638" s="22" t="s">
        <v>590</v>
      </c>
      <c r="D638" s="22" t="s">
        <v>536</v>
      </c>
      <c r="E638" s="22" t="s">
        <v>84</v>
      </c>
      <c r="F638" s="44" t="s">
        <v>796</v>
      </c>
      <c r="G638" s="44" t="s">
        <v>1281</v>
      </c>
    </row>
    <row r="639" spans="2:7" ht="14.25">
      <c r="B639" s="22">
        <v>638</v>
      </c>
      <c r="C639" s="22" t="s">
        <v>591</v>
      </c>
      <c r="D639" s="22" t="s">
        <v>536</v>
      </c>
      <c r="E639" s="22" t="s">
        <v>105</v>
      </c>
      <c r="F639" s="44" t="s">
        <v>798</v>
      </c>
    </row>
    <row r="640" spans="2:7" ht="14.25">
      <c r="B640" s="22">
        <v>639</v>
      </c>
      <c r="C640" s="22" t="s">
        <v>592</v>
      </c>
      <c r="D640" s="22" t="s">
        <v>536</v>
      </c>
      <c r="E640" s="22" t="s">
        <v>105</v>
      </c>
      <c r="F640" s="44" t="s">
        <v>797</v>
      </c>
      <c r="G640" s="44" t="s">
        <v>1282</v>
      </c>
    </row>
    <row r="641" spans="2:7" ht="14.25">
      <c r="B641" s="22">
        <v>640</v>
      </c>
      <c r="C641" s="22" t="s">
        <v>593</v>
      </c>
      <c r="D641" s="22" t="s">
        <v>536</v>
      </c>
      <c r="E641" s="22" t="s">
        <v>105</v>
      </c>
      <c r="F641" s="44" t="s">
        <v>798</v>
      </c>
    </row>
    <row r="642" spans="2:7" ht="14.25">
      <c r="B642" s="22">
        <v>641</v>
      </c>
      <c r="C642" s="22" t="s">
        <v>594</v>
      </c>
      <c r="D642" s="22" t="s">
        <v>536</v>
      </c>
      <c r="E642" s="22" t="s">
        <v>105</v>
      </c>
      <c r="F642" s="44" t="s">
        <v>796</v>
      </c>
      <c r="G642" s="44" t="s">
        <v>1283</v>
      </c>
    </row>
    <row r="643" spans="2:7" ht="14.25">
      <c r="B643" s="22">
        <v>642</v>
      </c>
      <c r="C643" s="22" t="s">
        <v>595</v>
      </c>
      <c r="D643" s="22" t="s">
        <v>536</v>
      </c>
      <c r="E643" s="22" t="s">
        <v>105</v>
      </c>
      <c r="F643" s="44" t="s">
        <v>797</v>
      </c>
      <c r="G643" s="44" t="s">
        <v>1284</v>
      </c>
    </row>
    <row r="644" spans="2:7" ht="14.25">
      <c r="B644" s="22">
        <v>643</v>
      </c>
      <c r="C644" s="22" t="s">
        <v>596</v>
      </c>
      <c r="D644" s="22" t="s">
        <v>536</v>
      </c>
      <c r="E644" s="22" t="s">
        <v>105</v>
      </c>
      <c r="F644" s="44" t="s">
        <v>798</v>
      </c>
    </row>
    <row r="645" spans="2:7" ht="14.25">
      <c r="B645" s="22">
        <v>644</v>
      </c>
      <c r="C645" s="22" t="s">
        <v>597</v>
      </c>
      <c r="D645" s="22" t="s">
        <v>598</v>
      </c>
      <c r="E645" s="22" t="s">
        <v>36</v>
      </c>
      <c r="F645" t="s">
        <v>796</v>
      </c>
      <c r="G645" t="s">
        <v>1285</v>
      </c>
    </row>
    <row r="646" spans="2:7" ht="14.25">
      <c r="B646" s="22">
        <v>645</v>
      </c>
      <c r="C646" s="22" t="s">
        <v>599</v>
      </c>
      <c r="D646" s="22" t="s">
        <v>598</v>
      </c>
      <c r="E646" s="22" t="s">
        <v>36</v>
      </c>
      <c r="F646" t="s">
        <v>796</v>
      </c>
      <c r="G646" t="s">
        <v>1286</v>
      </c>
    </row>
    <row r="647" spans="2:7" ht="14.25">
      <c r="B647" s="22">
        <v>646</v>
      </c>
      <c r="C647" s="22" t="s">
        <v>600</v>
      </c>
      <c r="D647" s="22" t="s">
        <v>598</v>
      </c>
      <c r="E647" s="22" t="s">
        <v>36</v>
      </c>
      <c r="F647" t="s">
        <v>796</v>
      </c>
      <c r="G647" t="s">
        <v>1287</v>
      </c>
    </row>
    <row r="648" spans="2:7" ht="14.25">
      <c r="B648" s="22">
        <v>647</v>
      </c>
      <c r="C648" s="22" t="s">
        <v>270</v>
      </c>
      <c r="D648" s="22" t="s">
        <v>598</v>
      </c>
      <c r="E648" s="22" t="s">
        <v>36</v>
      </c>
      <c r="F648" t="s">
        <v>796</v>
      </c>
      <c r="G648" t="s">
        <v>1017</v>
      </c>
    </row>
    <row r="649" spans="2:7" ht="14.25">
      <c r="B649" s="22">
        <v>648</v>
      </c>
      <c r="C649" s="22" t="s">
        <v>601</v>
      </c>
      <c r="D649" s="22" t="s">
        <v>598</v>
      </c>
      <c r="E649" s="22" t="s">
        <v>36</v>
      </c>
      <c r="F649" s="44" t="s">
        <v>798</v>
      </c>
      <c r="G649" t="s">
        <v>1288</v>
      </c>
    </row>
    <row r="650" spans="2:7" ht="14.25">
      <c r="B650" s="22">
        <v>649</v>
      </c>
      <c r="C650" s="22" t="s">
        <v>602</v>
      </c>
      <c r="D650" s="22" t="s">
        <v>598</v>
      </c>
      <c r="E650" s="22" t="s">
        <v>36</v>
      </c>
      <c r="F650" s="44" t="s">
        <v>798</v>
      </c>
    </row>
    <row r="651" spans="2:7" ht="14.25">
      <c r="B651" s="22">
        <v>650</v>
      </c>
      <c r="C651" s="22" t="s">
        <v>603</v>
      </c>
      <c r="D651" s="22" t="s">
        <v>598</v>
      </c>
      <c r="E651" s="22" t="s">
        <v>36</v>
      </c>
      <c r="F651" t="s">
        <v>796</v>
      </c>
      <c r="G651" t="s">
        <v>1289</v>
      </c>
    </row>
    <row r="652" spans="2:7" ht="14.25">
      <c r="B652" s="22">
        <v>651</v>
      </c>
      <c r="C652" s="22" t="s">
        <v>604</v>
      </c>
      <c r="D652" s="22" t="s">
        <v>598</v>
      </c>
      <c r="E652" s="22" t="s">
        <v>36</v>
      </c>
      <c r="F652" t="s">
        <v>796</v>
      </c>
      <c r="G652" t="s">
        <v>1290</v>
      </c>
    </row>
    <row r="653" spans="2:7" ht="14.25">
      <c r="B653" s="22">
        <v>652</v>
      </c>
      <c r="C653" s="22" t="s">
        <v>384</v>
      </c>
      <c r="D653" s="22" t="s">
        <v>598</v>
      </c>
      <c r="E653" s="22" t="s">
        <v>36</v>
      </c>
      <c r="F653" t="s">
        <v>797</v>
      </c>
      <c r="G653" t="s">
        <v>1291</v>
      </c>
    </row>
    <row r="654" spans="2:7" ht="14.25">
      <c r="B654" s="22">
        <v>653</v>
      </c>
      <c r="C654" s="22" t="s">
        <v>605</v>
      </c>
      <c r="D654" s="22" t="s">
        <v>598</v>
      </c>
      <c r="E654" s="22" t="s">
        <v>36</v>
      </c>
      <c r="F654" t="s">
        <v>796</v>
      </c>
      <c r="G654" t="s">
        <v>1292</v>
      </c>
    </row>
    <row r="655" spans="2:7" ht="14.25">
      <c r="B655" s="22">
        <v>654</v>
      </c>
      <c r="C655" s="22" t="s">
        <v>606</v>
      </c>
      <c r="D655" s="22" t="s">
        <v>598</v>
      </c>
      <c r="E655" s="22" t="s">
        <v>36</v>
      </c>
      <c r="F655" t="s">
        <v>796</v>
      </c>
      <c r="G655" t="s">
        <v>1293</v>
      </c>
    </row>
    <row r="656" spans="2:7" ht="14.25">
      <c r="B656" s="22">
        <v>655</v>
      </c>
      <c r="C656" s="22" t="s">
        <v>607</v>
      </c>
      <c r="D656" s="22" t="s">
        <v>598</v>
      </c>
      <c r="E656" s="22" t="s">
        <v>36</v>
      </c>
      <c r="F656" t="s">
        <v>796</v>
      </c>
      <c r="G656" t="s">
        <v>1294</v>
      </c>
    </row>
    <row r="657" spans="2:7" ht="14.25">
      <c r="B657" s="22">
        <v>656</v>
      </c>
      <c r="C657" s="22" t="s">
        <v>608</v>
      </c>
      <c r="D657" s="22" t="s">
        <v>598</v>
      </c>
      <c r="E657" s="22" t="s">
        <v>36</v>
      </c>
      <c r="F657" t="s">
        <v>796</v>
      </c>
      <c r="G657" t="s">
        <v>1295</v>
      </c>
    </row>
    <row r="658" spans="2:7" ht="14.25">
      <c r="B658" s="22">
        <v>657</v>
      </c>
      <c r="C658" s="22" t="s">
        <v>609</v>
      </c>
      <c r="D658" s="22" t="s">
        <v>598</v>
      </c>
      <c r="E658" s="22" t="s">
        <v>36</v>
      </c>
      <c r="F658" t="s">
        <v>796</v>
      </c>
      <c r="G658" t="s">
        <v>1296</v>
      </c>
    </row>
    <row r="659" spans="2:7" ht="14.25">
      <c r="B659" s="22">
        <v>658</v>
      </c>
      <c r="C659" s="22" t="s">
        <v>276</v>
      </c>
      <c r="D659" s="22" t="s">
        <v>598</v>
      </c>
      <c r="E659" s="22" t="s">
        <v>36</v>
      </c>
      <c r="F659" t="s">
        <v>796</v>
      </c>
      <c r="G659" t="s">
        <v>1297</v>
      </c>
    </row>
    <row r="660" spans="2:7" ht="14.25">
      <c r="B660" s="22">
        <v>659</v>
      </c>
      <c r="C660" s="22" t="s">
        <v>610</v>
      </c>
      <c r="D660" s="22" t="s">
        <v>598</v>
      </c>
      <c r="E660" s="22" t="s">
        <v>36</v>
      </c>
      <c r="F660" t="s">
        <v>797</v>
      </c>
      <c r="G660" t="s">
        <v>1298</v>
      </c>
    </row>
    <row r="661" spans="2:7" ht="14.25">
      <c r="B661" s="22">
        <v>660</v>
      </c>
      <c r="C661" s="22" t="s">
        <v>611</v>
      </c>
      <c r="D661" s="22" t="s">
        <v>598</v>
      </c>
      <c r="E661" s="22" t="s">
        <v>36</v>
      </c>
      <c r="F661" t="s">
        <v>797</v>
      </c>
      <c r="G661" t="s">
        <v>1299</v>
      </c>
    </row>
    <row r="662" spans="2:7" ht="14.25">
      <c r="B662" s="22">
        <v>661</v>
      </c>
      <c r="C662" s="22" t="s">
        <v>377</v>
      </c>
      <c r="D662" s="22" t="s">
        <v>598</v>
      </c>
      <c r="E662" s="22" t="s">
        <v>36</v>
      </c>
      <c r="F662" t="s">
        <v>796</v>
      </c>
      <c r="G662" t="s">
        <v>1114</v>
      </c>
    </row>
    <row r="663" spans="2:7" ht="14.25">
      <c r="B663" s="22">
        <v>662</v>
      </c>
      <c r="C663" s="22" t="s">
        <v>380</v>
      </c>
      <c r="D663" s="22" t="s">
        <v>598</v>
      </c>
      <c r="E663" s="22" t="s">
        <v>36</v>
      </c>
      <c r="F663" t="s">
        <v>796</v>
      </c>
      <c r="G663" t="s">
        <v>1300</v>
      </c>
    </row>
    <row r="664" spans="2:7" ht="14.25">
      <c r="B664" s="22">
        <v>663</v>
      </c>
      <c r="C664" s="22" t="s">
        <v>378</v>
      </c>
      <c r="D664" s="22" t="s">
        <v>598</v>
      </c>
      <c r="E664" s="22" t="s">
        <v>36</v>
      </c>
      <c r="F664" t="s">
        <v>796</v>
      </c>
      <c r="G664" t="s">
        <v>1115</v>
      </c>
    </row>
    <row r="665" spans="2:7" ht="14.25">
      <c r="B665" s="22">
        <v>664</v>
      </c>
      <c r="C665" s="22" t="s">
        <v>612</v>
      </c>
      <c r="D665" s="22" t="s">
        <v>598</v>
      </c>
      <c r="E665" s="22" t="s">
        <v>36</v>
      </c>
      <c r="F665" t="s">
        <v>796</v>
      </c>
      <c r="G665" t="s">
        <v>1301</v>
      </c>
    </row>
    <row r="666" spans="2:7" ht="14.25">
      <c r="B666" s="22">
        <v>665</v>
      </c>
      <c r="C666" s="22" t="s">
        <v>613</v>
      </c>
      <c r="D666" s="22" t="s">
        <v>598</v>
      </c>
      <c r="E666" s="22" t="s">
        <v>60</v>
      </c>
      <c r="F666" s="44" t="s">
        <v>796</v>
      </c>
      <c r="G666" s="44" t="s">
        <v>1302</v>
      </c>
    </row>
    <row r="667" spans="2:7" ht="14.25">
      <c r="B667" s="22">
        <v>666</v>
      </c>
      <c r="C667" s="22" t="s">
        <v>614</v>
      </c>
      <c r="D667" s="22" t="s">
        <v>598</v>
      </c>
      <c r="E667" s="22" t="s">
        <v>60</v>
      </c>
      <c r="F667" s="44" t="s">
        <v>796</v>
      </c>
      <c r="G667" s="44" t="s">
        <v>1303</v>
      </c>
    </row>
    <row r="668" spans="2:7" ht="14.25">
      <c r="B668" s="22">
        <v>667</v>
      </c>
      <c r="C668" s="22" t="s">
        <v>615</v>
      </c>
      <c r="D668" s="22" t="s">
        <v>598</v>
      </c>
      <c r="E668" s="22" t="s">
        <v>60</v>
      </c>
      <c r="F668" s="44" t="s">
        <v>796</v>
      </c>
      <c r="G668" s="44" t="s">
        <v>1304</v>
      </c>
    </row>
    <row r="669" spans="2:7" ht="14.25">
      <c r="B669" s="22">
        <v>668</v>
      </c>
      <c r="C669" s="22" t="s">
        <v>616</v>
      </c>
      <c r="D669" s="22" t="s">
        <v>598</v>
      </c>
      <c r="E669" s="22" t="s">
        <v>60</v>
      </c>
      <c r="F669" s="44" t="s">
        <v>796</v>
      </c>
      <c r="G669" s="44" t="s">
        <v>1305</v>
      </c>
    </row>
    <row r="670" spans="2:7" ht="14.25">
      <c r="B670" s="22">
        <v>669</v>
      </c>
      <c r="C670" s="22" t="s">
        <v>487</v>
      </c>
      <c r="D670" s="22" t="s">
        <v>598</v>
      </c>
      <c r="E670" s="22" t="s">
        <v>60</v>
      </c>
      <c r="F670" s="44" t="s">
        <v>796</v>
      </c>
      <c r="G670" s="44" t="s">
        <v>1204</v>
      </c>
    </row>
    <row r="671" spans="2:7" ht="14.25">
      <c r="B671" s="22">
        <v>670</v>
      </c>
      <c r="C671" s="22" t="s">
        <v>599</v>
      </c>
      <c r="D671" s="22" t="s">
        <v>598</v>
      </c>
      <c r="E671" s="22" t="s">
        <v>60</v>
      </c>
      <c r="F671" s="44" t="s">
        <v>796</v>
      </c>
      <c r="G671" s="44" t="s">
        <v>1286</v>
      </c>
    </row>
    <row r="672" spans="2:7" ht="14.25">
      <c r="B672" s="22">
        <v>671</v>
      </c>
      <c r="C672" s="22" t="s">
        <v>617</v>
      </c>
      <c r="D672" s="22" t="s">
        <v>598</v>
      </c>
      <c r="E672" s="22" t="s">
        <v>60</v>
      </c>
      <c r="F672" s="44" t="s">
        <v>798</v>
      </c>
      <c r="G672" s="44" t="s">
        <v>1306</v>
      </c>
    </row>
    <row r="673" spans="2:7" ht="14.25">
      <c r="B673" s="22">
        <v>672</v>
      </c>
      <c r="C673" s="22" t="s">
        <v>618</v>
      </c>
      <c r="D673" s="22" t="s">
        <v>598</v>
      </c>
      <c r="E673" s="22" t="s">
        <v>60</v>
      </c>
      <c r="F673" s="44" t="s">
        <v>798</v>
      </c>
      <c r="G673" s="44" t="s">
        <v>1306</v>
      </c>
    </row>
    <row r="674" spans="2:7" ht="14.25">
      <c r="B674" s="22">
        <v>673</v>
      </c>
      <c r="C674" s="22" t="s">
        <v>619</v>
      </c>
      <c r="D674" s="22" t="s">
        <v>598</v>
      </c>
      <c r="E674" s="22" t="s">
        <v>60</v>
      </c>
      <c r="F674" s="44" t="s">
        <v>798</v>
      </c>
    </row>
    <row r="675" spans="2:7" ht="14.25">
      <c r="B675" s="22">
        <v>674</v>
      </c>
      <c r="C675" s="22" t="s">
        <v>620</v>
      </c>
      <c r="D675" s="22" t="s">
        <v>598</v>
      </c>
      <c r="E675" s="22" t="s">
        <v>60</v>
      </c>
      <c r="F675" s="44" t="s">
        <v>798</v>
      </c>
    </row>
    <row r="676" spans="2:7" ht="14.25">
      <c r="B676" s="22">
        <v>675</v>
      </c>
      <c r="C676" s="22" t="s">
        <v>621</v>
      </c>
      <c r="D676" s="22" t="s">
        <v>598</v>
      </c>
      <c r="E676" s="22" t="s">
        <v>60</v>
      </c>
      <c r="F676" s="44" t="s">
        <v>797</v>
      </c>
      <c r="G676" s="44" t="s">
        <v>1307</v>
      </c>
    </row>
    <row r="677" spans="2:7" ht="14.25">
      <c r="B677" s="22">
        <v>676</v>
      </c>
      <c r="C677" s="22" t="s">
        <v>622</v>
      </c>
      <c r="D677" s="22" t="s">
        <v>598</v>
      </c>
      <c r="E677" s="22" t="s">
        <v>60</v>
      </c>
      <c r="F677" s="44" t="s">
        <v>797</v>
      </c>
      <c r="G677" s="44" t="s">
        <v>1308</v>
      </c>
    </row>
    <row r="678" spans="2:7" ht="14.25">
      <c r="B678" s="22">
        <v>677</v>
      </c>
      <c r="C678" s="22" t="s">
        <v>623</v>
      </c>
      <c r="D678" s="22" t="s">
        <v>598</v>
      </c>
      <c r="E678" s="22" t="s">
        <v>60</v>
      </c>
      <c r="F678" s="44" t="s">
        <v>796</v>
      </c>
      <c r="G678" s="44" t="s">
        <v>1309</v>
      </c>
    </row>
    <row r="679" spans="2:7" ht="14.25">
      <c r="B679" s="22">
        <v>678</v>
      </c>
      <c r="C679" s="22" t="s">
        <v>624</v>
      </c>
      <c r="D679" s="22" t="s">
        <v>598</v>
      </c>
      <c r="E679" s="22" t="s">
        <v>60</v>
      </c>
      <c r="F679" s="44" t="s">
        <v>796</v>
      </c>
      <c r="G679" s="44" t="s">
        <v>1310</v>
      </c>
    </row>
    <row r="680" spans="2:7" ht="14.25">
      <c r="B680" s="22">
        <v>679</v>
      </c>
      <c r="C680" s="22" t="s">
        <v>625</v>
      </c>
      <c r="D680" s="22" t="s">
        <v>598</v>
      </c>
      <c r="E680" s="22" t="s">
        <v>60</v>
      </c>
      <c r="F680" s="44" t="s">
        <v>797</v>
      </c>
      <c r="G680" s="44" t="s">
        <v>1311</v>
      </c>
    </row>
    <row r="681" spans="2:7" ht="14.25">
      <c r="B681" s="22">
        <v>680</v>
      </c>
      <c r="C681" s="22" t="s">
        <v>96</v>
      </c>
      <c r="D681" s="22" t="s">
        <v>598</v>
      </c>
      <c r="E681" s="22" t="s">
        <v>60</v>
      </c>
      <c r="F681" s="44" t="s">
        <v>796</v>
      </c>
      <c r="G681" s="44" t="s">
        <v>857</v>
      </c>
    </row>
    <row r="682" spans="2:7" ht="14.25">
      <c r="B682" s="22">
        <v>681</v>
      </c>
      <c r="C682" s="22" t="s">
        <v>603</v>
      </c>
      <c r="D682" s="22" t="s">
        <v>598</v>
      </c>
      <c r="E682" s="22" t="s">
        <v>60</v>
      </c>
      <c r="F682" s="44" t="s">
        <v>796</v>
      </c>
      <c r="G682" s="44" t="s">
        <v>1289</v>
      </c>
    </row>
    <row r="683" spans="2:7" ht="14.25">
      <c r="B683" s="22">
        <v>682</v>
      </c>
      <c r="C683" s="22" t="s">
        <v>626</v>
      </c>
      <c r="D683" s="22" t="s">
        <v>598</v>
      </c>
      <c r="E683" s="22" t="s">
        <v>60</v>
      </c>
      <c r="F683" s="44" t="s">
        <v>796</v>
      </c>
      <c r="G683" s="44" t="s">
        <v>1282</v>
      </c>
    </row>
    <row r="684" spans="2:7" ht="14.25">
      <c r="B684" s="22">
        <v>683</v>
      </c>
      <c r="C684" s="22" t="s">
        <v>54</v>
      </c>
      <c r="D684" s="22" t="s">
        <v>598</v>
      </c>
      <c r="E684" s="22" t="s">
        <v>60</v>
      </c>
      <c r="F684" s="44" t="s">
        <v>796</v>
      </c>
      <c r="G684" s="44" t="s">
        <v>817</v>
      </c>
    </row>
    <row r="685" spans="2:7" ht="14.25">
      <c r="B685" s="22">
        <v>684</v>
      </c>
      <c r="C685" s="22" t="s">
        <v>146</v>
      </c>
      <c r="D685" s="22" t="s">
        <v>598</v>
      </c>
      <c r="E685" s="22" t="s">
        <v>60</v>
      </c>
      <c r="F685" s="44" t="s">
        <v>796</v>
      </c>
      <c r="G685" s="44" t="s">
        <v>900</v>
      </c>
    </row>
    <row r="686" spans="2:7" ht="14.25">
      <c r="B686" s="22">
        <v>685</v>
      </c>
      <c r="C686" s="22" t="s">
        <v>147</v>
      </c>
      <c r="D686" s="22" t="s">
        <v>598</v>
      </c>
      <c r="E686" s="22" t="s">
        <v>60</v>
      </c>
      <c r="F686" s="44" t="s">
        <v>796</v>
      </c>
      <c r="G686" s="44" t="s">
        <v>901</v>
      </c>
    </row>
    <row r="687" spans="2:7" ht="14.25">
      <c r="B687" s="22">
        <v>686</v>
      </c>
      <c r="C687" s="22" t="s">
        <v>51</v>
      </c>
      <c r="D687" s="22" t="s">
        <v>598</v>
      </c>
      <c r="E687" s="22" t="s">
        <v>60</v>
      </c>
      <c r="F687" s="44" t="s">
        <v>796</v>
      </c>
      <c r="G687" s="44" t="s">
        <v>814</v>
      </c>
    </row>
    <row r="688" spans="2:7" ht="14.25">
      <c r="B688" s="22">
        <v>687</v>
      </c>
      <c r="C688" s="22" t="s">
        <v>52</v>
      </c>
      <c r="D688" s="22" t="s">
        <v>598</v>
      </c>
      <c r="E688" s="22" t="s">
        <v>60</v>
      </c>
      <c r="F688" s="44" t="s">
        <v>796</v>
      </c>
      <c r="G688" s="44" t="s">
        <v>815</v>
      </c>
    </row>
    <row r="689" spans="2:7" ht="14.25">
      <c r="B689" s="22">
        <v>688</v>
      </c>
      <c r="C689" s="22" t="s">
        <v>278</v>
      </c>
      <c r="D689" s="22" t="s">
        <v>598</v>
      </c>
      <c r="E689" s="22" t="s">
        <v>60</v>
      </c>
      <c r="F689" s="44" t="s">
        <v>797</v>
      </c>
    </row>
    <row r="690" spans="2:7" ht="14.25">
      <c r="B690" s="22">
        <v>689</v>
      </c>
      <c r="C690" s="22" t="s">
        <v>279</v>
      </c>
      <c r="D690" s="22" t="s">
        <v>598</v>
      </c>
      <c r="E690" s="22" t="s">
        <v>60</v>
      </c>
      <c r="F690" s="44" t="s">
        <v>796</v>
      </c>
      <c r="G690" s="44" t="s">
        <v>1027</v>
      </c>
    </row>
    <row r="691" spans="2:7" ht="14.25">
      <c r="B691" s="22">
        <v>690</v>
      </c>
      <c r="C691" s="22" t="s">
        <v>627</v>
      </c>
      <c r="D691" s="22" t="s">
        <v>598</v>
      </c>
      <c r="E691" s="22" t="s">
        <v>60</v>
      </c>
      <c r="F691" s="44" t="s">
        <v>796</v>
      </c>
      <c r="G691" s="44" t="s">
        <v>1304</v>
      </c>
    </row>
    <row r="692" spans="2:7" ht="14.25">
      <c r="B692" s="22">
        <v>691</v>
      </c>
      <c r="C692" s="22" t="s">
        <v>309</v>
      </c>
      <c r="D692" s="22" t="s">
        <v>598</v>
      </c>
      <c r="E692" s="22" t="s">
        <v>60</v>
      </c>
      <c r="F692" s="44" t="s">
        <v>796</v>
      </c>
      <c r="G692" s="44" t="s">
        <v>1312</v>
      </c>
    </row>
    <row r="693" spans="2:7" ht="14.25">
      <c r="B693" s="22">
        <v>692</v>
      </c>
      <c r="C693" s="22" t="s">
        <v>628</v>
      </c>
      <c r="D693" s="22" t="s">
        <v>598</v>
      </c>
      <c r="E693" s="22" t="s">
        <v>60</v>
      </c>
      <c r="F693" s="44" t="s">
        <v>796</v>
      </c>
      <c r="G693" s="44" t="s">
        <v>1313</v>
      </c>
    </row>
    <row r="694" spans="2:7" ht="14.25">
      <c r="B694" s="22">
        <v>693</v>
      </c>
      <c r="C694" s="22" t="s">
        <v>629</v>
      </c>
      <c r="D694" s="22" t="s">
        <v>598</v>
      </c>
      <c r="E694" s="22" t="s">
        <v>60</v>
      </c>
      <c r="F694" s="44" t="s">
        <v>796</v>
      </c>
      <c r="G694" s="44" t="s">
        <v>1314</v>
      </c>
    </row>
    <row r="695" spans="2:7" ht="14.25">
      <c r="B695" s="22">
        <v>694</v>
      </c>
      <c r="C695" s="22" t="s">
        <v>630</v>
      </c>
      <c r="D695" s="22" t="s">
        <v>598</v>
      </c>
      <c r="E695" s="22" t="s">
        <v>60</v>
      </c>
      <c r="F695" s="44" t="s">
        <v>797</v>
      </c>
      <c r="G695" s="44" t="s">
        <v>1315</v>
      </c>
    </row>
    <row r="696" spans="2:7" ht="14.25">
      <c r="B696" s="22">
        <v>695</v>
      </c>
      <c r="C696" s="22" t="s">
        <v>631</v>
      </c>
      <c r="D696" s="22" t="s">
        <v>598</v>
      </c>
      <c r="E696" s="22" t="s">
        <v>60</v>
      </c>
      <c r="F696" s="44" t="s">
        <v>797</v>
      </c>
      <c r="G696" s="44" t="s">
        <v>1316</v>
      </c>
    </row>
    <row r="697" spans="2:7" ht="14.25">
      <c r="B697" s="22">
        <v>696</v>
      </c>
      <c r="C697" s="22" t="s">
        <v>632</v>
      </c>
      <c r="D697" s="22" t="s">
        <v>598</v>
      </c>
      <c r="E697" s="22" t="s">
        <v>60</v>
      </c>
      <c r="F697" s="44" t="s">
        <v>797</v>
      </c>
      <c r="G697" s="44" t="s">
        <v>1317</v>
      </c>
    </row>
    <row r="698" spans="2:7" ht="14.25">
      <c r="B698" s="22">
        <v>697</v>
      </c>
      <c r="C698" s="22" t="s">
        <v>633</v>
      </c>
      <c r="D698" s="22" t="s">
        <v>598</v>
      </c>
      <c r="E698" s="22" t="s">
        <v>84</v>
      </c>
      <c r="F698" s="44" t="s">
        <v>797</v>
      </c>
      <c r="G698" s="44" t="s">
        <v>1318</v>
      </c>
    </row>
    <row r="699" spans="2:7" ht="14.25">
      <c r="B699" s="22">
        <v>698</v>
      </c>
      <c r="C699" s="22" t="s">
        <v>634</v>
      </c>
      <c r="D699" s="22" t="s">
        <v>598</v>
      </c>
      <c r="E699" s="22" t="s">
        <v>84</v>
      </c>
      <c r="F699" s="44" t="s">
        <v>796</v>
      </c>
      <c r="G699" s="44" t="s">
        <v>1319</v>
      </c>
    </row>
    <row r="700" spans="2:7" ht="14.25">
      <c r="B700" s="22">
        <v>699</v>
      </c>
      <c r="C700" s="22" t="s">
        <v>635</v>
      </c>
      <c r="D700" s="22" t="s">
        <v>598</v>
      </c>
      <c r="E700" s="22" t="s">
        <v>84</v>
      </c>
      <c r="F700" s="44" t="s">
        <v>798</v>
      </c>
      <c r="G700" s="44" t="s">
        <v>1320</v>
      </c>
    </row>
    <row r="701" spans="2:7" ht="14.25">
      <c r="B701" s="22">
        <v>700</v>
      </c>
      <c r="C701" s="22" t="s">
        <v>636</v>
      </c>
      <c r="D701" s="22" t="s">
        <v>598</v>
      </c>
      <c r="E701" s="22" t="s">
        <v>84</v>
      </c>
      <c r="F701" s="44" t="s">
        <v>797</v>
      </c>
      <c r="G701" s="44" t="s">
        <v>1321</v>
      </c>
    </row>
    <row r="702" spans="2:7" ht="14.25">
      <c r="B702" s="22">
        <v>701</v>
      </c>
      <c r="C702" s="22" t="s">
        <v>637</v>
      </c>
      <c r="D702" s="22" t="s">
        <v>598</v>
      </c>
      <c r="E702" s="22" t="s">
        <v>84</v>
      </c>
      <c r="F702" s="44" t="s">
        <v>796</v>
      </c>
      <c r="G702" s="44" t="s">
        <v>1322</v>
      </c>
    </row>
    <row r="703" spans="2:7" ht="14.25">
      <c r="B703" s="22">
        <v>702</v>
      </c>
      <c r="C703" s="22" t="s">
        <v>638</v>
      </c>
      <c r="D703" s="22" t="s">
        <v>598</v>
      </c>
      <c r="E703" s="22" t="s">
        <v>84</v>
      </c>
      <c r="F703" s="44" t="s">
        <v>796</v>
      </c>
      <c r="G703" s="44" t="s">
        <v>1323</v>
      </c>
    </row>
    <row r="704" spans="2:7" ht="14.25">
      <c r="B704" s="22">
        <v>703</v>
      </c>
      <c r="C704" s="22" t="s">
        <v>639</v>
      </c>
      <c r="D704" s="22" t="s">
        <v>598</v>
      </c>
      <c r="E704" s="22" t="s">
        <v>84</v>
      </c>
      <c r="F704" s="44" t="s">
        <v>796</v>
      </c>
      <c r="G704" s="44" t="s">
        <v>1324</v>
      </c>
    </row>
    <row r="705" spans="2:7" ht="14.25">
      <c r="B705" s="22">
        <v>704</v>
      </c>
      <c r="C705" s="22" t="s">
        <v>640</v>
      </c>
      <c r="D705" s="22" t="s">
        <v>598</v>
      </c>
      <c r="E705" s="22" t="s">
        <v>84</v>
      </c>
      <c r="F705" s="44" t="s">
        <v>796</v>
      </c>
      <c r="G705" s="44" t="s">
        <v>1325</v>
      </c>
    </row>
    <row r="706" spans="2:7" ht="14.25">
      <c r="B706" s="22">
        <v>705</v>
      </c>
      <c r="C706" s="22" t="s">
        <v>641</v>
      </c>
      <c r="D706" s="22" t="s">
        <v>598</v>
      </c>
      <c r="E706" s="22" t="s">
        <v>84</v>
      </c>
      <c r="F706" s="44" t="s">
        <v>797</v>
      </c>
      <c r="G706" s="44" t="s">
        <v>1326</v>
      </c>
    </row>
    <row r="707" spans="2:7" ht="14.25">
      <c r="B707" s="22">
        <v>706</v>
      </c>
      <c r="C707" s="22" t="s">
        <v>385</v>
      </c>
      <c r="D707" s="22" t="s">
        <v>598</v>
      </c>
      <c r="E707" s="22" t="s">
        <v>84</v>
      </c>
      <c r="F707" s="44" t="s">
        <v>796</v>
      </c>
      <c r="G707" s="44" t="s">
        <v>1327</v>
      </c>
    </row>
    <row r="708" spans="2:7" ht="14.25">
      <c r="B708" s="22">
        <v>707</v>
      </c>
      <c r="C708" s="22" t="s">
        <v>642</v>
      </c>
      <c r="D708" s="22" t="s">
        <v>598</v>
      </c>
      <c r="E708" s="22" t="s">
        <v>84</v>
      </c>
      <c r="F708" s="44" t="s">
        <v>797</v>
      </c>
      <c r="G708" s="44" t="s">
        <v>1328</v>
      </c>
    </row>
    <row r="709" spans="2:7" ht="14.25">
      <c r="B709" s="22">
        <v>708</v>
      </c>
      <c r="C709" s="22" t="s">
        <v>643</v>
      </c>
      <c r="D709" s="22" t="s">
        <v>598</v>
      </c>
      <c r="E709" s="22" t="s">
        <v>84</v>
      </c>
      <c r="F709" s="44" t="s">
        <v>796</v>
      </c>
      <c r="G709" s="44" t="s">
        <v>1329</v>
      </c>
    </row>
    <row r="710" spans="2:7" ht="14.25">
      <c r="B710" s="22">
        <v>709</v>
      </c>
      <c r="C710" s="22" t="s">
        <v>644</v>
      </c>
      <c r="D710" s="22" t="s">
        <v>598</v>
      </c>
      <c r="E710" s="22" t="s">
        <v>84</v>
      </c>
      <c r="F710" s="44" t="s">
        <v>796</v>
      </c>
      <c r="G710" s="44" t="s">
        <v>1330</v>
      </c>
    </row>
    <row r="711" spans="2:7" ht="14.25">
      <c r="B711" s="22">
        <v>710</v>
      </c>
      <c r="C711" s="22" t="s">
        <v>645</v>
      </c>
      <c r="D711" s="22" t="s">
        <v>598</v>
      </c>
      <c r="E711" s="22" t="s">
        <v>84</v>
      </c>
      <c r="F711" s="44" t="s">
        <v>797</v>
      </c>
      <c r="G711" s="44" t="s">
        <v>1331</v>
      </c>
    </row>
    <row r="712" spans="2:7" ht="14.25">
      <c r="B712" s="22">
        <v>711</v>
      </c>
      <c r="C712" s="22" t="s">
        <v>646</v>
      </c>
      <c r="D712" s="22" t="s">
        <v>598</v>
      </c>
      <c r="E712" s="22" t="s">
        <v>84</v>
      </c>
      <c r="F712" s="44" t="s">
        <v>798</v>
      </c>
    </row>
    <row r="713" spans="2:7" ht="14.25">
      <c r="B713" s="22">
        <v>712</v>
      </c>
      <c r="C713" s="22" t="s">
        <v>647</v>
      </c>
      <c r="D713" s="22" t="s">
        <v>598</v>
      </c>
      <c r="E713" s="22" t="s">
        <v>105</v>
      </c>
      <c r="F713" s="44" t="s">
        <v>798</v>
      </c>
      <c r="G713" s="44" t="s">
        <v>1332</v>
      </c>
    </row>
    <row r="714" spans="2:7" ht="14.25">
      <c r="B714" s="22">
        <v>713</v>
      </c>
      <c r="C714" s="22" t="s">
        <v>648</v>
      </c>
      <c r="D714" s="22" t="s">
        <v>598</v>
      </c>
      <c r="E714" s="22" t="s">
        <v>105</v>
      </c>
      <c r="F714" s="44" t="s">
        <v>798</v>
      </c>
      <c r="G714" s="44" t="s">
        <v>1333</v>
      </c>
    </row>
    <row r="715" spans="2:7" ht="14.25">
      <c r="B715" s="22">
        <v>714</v>
      </c>
      <c r="C715" s="22" t="s">
        <v>649</v>
      </c>
      <c r="D715" s="22" t="s">
        <v>598</v>
      </c>
      <c r="E715" s="22" t="s">
        <v>105</v>
      </c>
      <c r="F715" s="44" t="s">
        <v>798</v>
      </c>
      <c r="G715" s="44" t="s">
        <v>1334</v>
      </c>
    </row>
    <row r="716" spans="2:7" ht="14.25">
      <c r="B716" s="22">
        <v>715</v>
      </c>
      <c r="C716" s="22" t="s">
        <v>650</v>
      </c>
      <c r="D716" s="22" t="s">
        <v>598</v>
      </c>
      <c r="E716" s="22" t="s">
        <v>105</v>
      </c>
      <c r="F716" s="44" t="s">
        <v>798</v>
      </c>
      <c r="G716" s="44" t="s">
        <v>1335</v>
      </c>
    </row>
    <row r="717" spans="2:7" ht="14.25">
      <c r="B717" s="22">
        <v>716</v>
      </c>
      <c r="C717" s="22" t="s">
        <v>651</v>
      </c>
      <c r="D717" s="22" t="s">
        <v>598</v>
      </c>
      <c r="E717" s="22" t="s">
        <v>105</v>
      </c>
      <c r="F717" s="44" t="s">
        <v>798</v>
      </c>
      <c r="G717" s="44" t="s">
        <v>1336</v>
      </c>
    </row>
    <row r="718" spans="2:7" ht="14.25">
      <c r="B718" s="22">
        <v>717</v>
      </c>
      <c r="C718" s="22" t="s">
        <v>609</v>
      </c>
      <c r="D718" s="22" t="s">
        <v>652</v>
      </c>
      <c r="E718" s="22" t="s">
        <v>36</v>
      </c>
      <c r="F718" t="s">
        <v>796</v>
      </c>
      <c r="G718" s="44" t="s">
        <v>1296</v>
      </c>
    </row>
    <row r="719" spans="2:7" ht="14.25">
      <c r="B719" s="22">
        <v>718</v>
      </c>
      <c r="C719" s="22" t="s">
        <v>167</v>
      </c>
      <c r="D719" s="22" t="s">
        <v>652</v>
      </c>
      <c r="E719" s="22" t="s">
        <v>36</v>
      </c>
      <c r="F719" t="s">
        <v>796</v>
      </c>
      <c r="G719" s="44" t="s">
        <v>921</v>
      </c>
    </row>
    <row r="720" spans="2:7" ht="14.25">
      <c r="B720" s="22">
        <v>719</v>
      </c>
      <c r="C720" s="22" t="s">
        <v>628</v>
      </c>
      <c r="D720" s="22" t="s">
        <v>652</v>
      </c>
      <c r="E720" s="22" t="s">
        <v>36</v>
      </c>
      <c r="F720" t="s">
        <v>796</v>
      </c>
      <c r="G720" s="44" t="s">
        <v>1313</v>
      </c>
    </row>
    <row r="721" spans="2:7" ht="14.25">
      <c r="B721" s="22">
        <v>720</v>
      </c>
      <c r="C721" s="22" t="s">
        <v>629</v>
      </c>
      <c r="D721" s="22" t="s">
        <v>652</v>
      </c>
      <c r="E721" s="22" t="s">
        <v>36</v>
      </c>
      <c r="F721" t="s">
        <v>796</v>
      </c>
      <c r="G721" s="44" t="s">
        <v>1314</v>
      </c>
    </row>
    <row r="722" spans="2:7" ht="14.25">
      <c r="B722" s="22">
        <v>721</v>
      </c>
      <c r="C722" s="22" t="s">
        <v>653</v>
      </c>
      <c r="D722" s="22" t="s">
        <v>652</v>
      </c>
      <c r="E722" s="22" t="s">
        <v>36</v>
      </c>
      <c r="F722" t="s">
        <v>796</v>
      </c>
      <c r="G722" s="44" t="s">
        <v>1337</v>
      </c>
    </row>
    <row r="723" spans="2:7" ht="14.25">
      <c r="B723" s="22">
        <v>722</v>
      </c>
      <c r="C723" s="22" t="s">
        <v>196</v>
      </c>
      <c r="D723" s="22" t="s">
        <v>652</v>
      </c>
      <c r="E723" s="22" t="s">
        <v>36</v>
      </c>
      <c r="F723" t="s">
        <v>796</v>
      </c>
      <c r="G723" s="44" t="s">
        <v>947</v>
      </c>
    </row>
    <row r="724" spans="2:7" ht="14.25">
      <c r="B724" s="22">
        <v>723</v>
      </c>
      <c r="C724" s="22" t="s">
        <v>654</v>
      </c>
      <c r="D724" s="22" t="s">
        <v>652</v>
      </c>
      <c r="E724" s="22" t="s">
        <v>36</v>
      </c>
      <c r="F724" t="s">
        <v>796</v>
      </c>
      <c r="G724" s="44" t="s">
        <v>1338</v>
      </c>
    </row>
    <row r="725" spans="2:7" ht="14.25">
      <c r="B725" s="22">
        <v>724</v>
      </c>
      <c r="C725" s="22" t="s">
        <v>655</v>
      </c>
      <c r="D725" s="22" t="s">
        <v>652</v>
      </c>
      <c r="E725" s="22" t="s">
        <v>36</v>
      </c>
      <c r="F725" t="s">
        <v>797</v>
      </c>
      <c r="G725" s="44" t="s">
        <v>1204</v>
      </c>
    </row>
    <row r="726" spans="2:7" ht="14.25">
      <c r="B726" s="22">
        <v>725</v>
      </c>
      <c r="C726" s="22" t="s">
        <v>247</v>
      </c>
      <c r="D726" s="22" t="s">
        <v>652</v>
      </c>
      <c r="E726" s="22" t="s">
        <v>36</v>
      </c>
      <c r="F726" t="s">
        <v>796</v>
      </c>
      <c r="G726" s="44" t="s">
        <v>996</v>
      </c>
    </row>
    <row r="727" spans="2:7" ht="14.25">
      <c r="B727" s="22">
        <v>726</v>
      </c>
      <c r="C727" s="22" t="s">
        <v>210</v>
      </c>
      <c r="D727" s="22" t="s">
        <v>652</v>
      </c>
      <c r="E727" s="22" t="s">
        <v>36</v>
      </c>
      <c r="F727" t="s">
        <v>796</v>
      </c>
      <c r="G727" s="44" t="s">
        <v>997</v>
      </c>
    </row>
    <row r="728" spans="2:7" ht="14.25">
      <c r="B728" s="22">
        <v>727</v>
      </c>
      <c r="C728" s="22" t="s">
        <v>248</v>
      </c>
      <c r="D728" s="22" t="s">
        <v>652</v>
      </c>
      <c r="E728" s="22" t="s">
        <v>36</v>
      </c>
      <c r="F728" t="s">
        <v>796</v>
      </c>
      <c r="G728" s="44" t="s">
        <v>998</v>
      </c>
    </row>
    <row r="729" spans="2:7" ht="14.25">
      <c r="B729" s="22">
        <v>728</v>
      </c>
      <c r="C729" s="22" t="s">
        <v>656</v>
      </c>
      <c r="D729" s="22" t="s">
        <v>652</v>
      </c>
      <c r="E729" s="22" t="s">
        <v>36</v>
      </c>
      <c r="F729" t="s">
        <v>796</v>
      </c>
      <c r="G729" s="44" t="s">
        <v>1339</v>
      </c>
    </row>
    <row r="730" spans="2:7" ht="14.25">
      <c r="B730" s="22">
        <v>729</v>
      </c>
      <c r="C730" s="22" t="s">
        <v>124</v>
      </c>
      <c r="D730" s="22" t="s">
        <v>652</v>
      </c>
      <c r="E730" s="22" t="s">
        <v>36</v>
      </c>
      <c r="F730" t="s">
        <v>796</v>
      </c>
      <c r="G730" s="44" t="s">
        <v>880</v>
      </c>
    </row>
    <row r="731" spans="2:7" ht="14.25">
      <c r="B731" s="22">
        <v>730</v>
      </c>
      <c r="C731" s="22" t="s">
        <v>244</v>
      </c>
      <c r="D731" s="22" t="s">
        <v>652</v>
      </c>
      <c r="E731" s="22" t="s">
        <v>36</v>
      </c>
      <c r="F731" t="s">
        <v>796</v>
      </c>
      <c r="G731" s="44" t="s">
        <v>992</v>
      </c>
    </row>
    <row r="732" spans="2:7" ht="14.25">
      <c r="B732" s="22">
        <v>731</v>
      </c>
      <c r="C732" s="22" t="s">
        <v>145</v>
      </c>
      <c r="D732" s="22" t="s">
        <v>652</v>
      </c>
      <c r="E732" s="22" t="s">
        <v>36</v>
      </c>
      <c r="F732" t="s">
        <v>797</v>
      </c>
      <c r="G732" s="44" t="s">
        <v>1340</v>
      </c>
    </row>
    <row r="733" spans="2:7" ht="14.25">
      <c r="B733" s="22">
        <v>732</v>
      </c>
      <c r="C733" s="22" t="s">
        <v>657</v>
      </c>
      <c r="D733" s="22" t="s">
        <v>652</v>
      </c>
      <c r="E733" s="22" t="s">
        <v>36</v>
      </c>
      <c r="F733" t="s">
        <v>797</v>
      </c>
      <c r="G733" s="44" t="s">
        <v>1340</v>
      </c>
    </row>
    <row r="734" spans="2:7" ht="14.25">
      <c r="B734" s="22">
        <v>733</v>
      </c>
      <c r="C734" s="22" t="s">
        <v>658</v>
      </c>
      <c r="D734" s="22" t="s">
        <v>652</v>
      </c>
      <c r="E734" s="22" t="s">
        <v>36</v>
      </c>
      <c r="F734" t="s">
        <v>796</v>
      </c>
      <c r="G734" s="44" t="s">
        <v>1341</v>
      </c>
    </row>
    <row r="735" spans="2:7" ht="14.25">
      <c r="B735" s="22">
        <v>734</v>
      </c>
      <c r="C735" s="22" t="s">
        <v>659</v>
      </c>
      <c r="D735" s="22" t="s">
        <v>652</v>
      </c>
      <c r="E735" s="22" t="s">
        <v>36</v>
      </c>
      <c r="F735" t="s">
        <v>796</v>
      </c>
      <c r="G735" s="44" t="s">
        <v>1342</v>
      </c>
    </row>
    <row r="736" spans="2:7" ht="14.25">
      <c r="B736" s="22">
        <v>735</v>
      </c>
      <c r="C736" s="22" t="s">
        <v>660</v>
      </c>
      <c r="D736" s="22" t="s">
        <v>652</v>
      </c>
      <c r="E736" s="22" t="s">
        <v>36</v>
      </c>
      <c r="F736" t="s">
        <v>796</v>
      </c>
      <c r="G736" s="44" t="s">
        <v>1343</v>
      </c>
    </row>
    <row r="737" spans="2:7" ht="14.25">
      <c r="B737" s="22">
        <v>736</v>
      </c>
      <c r="C737" s="22" t="s">
        <v>661</v>
      </c>
      <c r="D737" s="22" t="s">
        <v>652</v>
      </c>
      <c r="E737" s="22" t="s">
        <v>36</v>
      </c>
      <c r="F737" t="s">
        <v>797</v>
      </c>
      <c r="G737" s="44" t="s">
        <v>1344</v>
      </c>
    </row>
    <row r="738" spans="2:7" ht="14.25">
      <c r="B738" s="22">
        <v>737</v>
      </c>
      <c r="C738" s="22" t="s">
        <v>662</v>
      </c>
      <c r="D738" s="22" t="s">
        <v>652</v>
      </c>
      <c r="E738" s="22" t="s">
        <v>36</v>
      </c>
      <c r="F738" t="s">
        <v>797</v>
      </c>
      <c r="G738" s="44" t="s">
        <v>1345</v>
      </c>
    </row>
    <row r="739" spans="2:7" ht="14.25">
      <c r="B739" s="22">
        <v>738</v>
      </c>
      <c r="C739" s="22" t="s">
        <v>663</v>
      </c>
      <c r="D739" s="22" t="s">
        <v>652</v>
      </c>
      <c r="E739" s="22" t="s">
        <v>36</v>
      </c>
      <c r="F739" t="s">
        <v>798</v>
      </c>
    </row>
    <row r="740" spans="2:7" ht="14.25">
      <c r="B740" s="22">
        <v>739</v>
      </c>
      <c r="C740" s="22" t="s">
        <v>664</v>
      </c>
      <c r="D740" s="22" t="s">
        <v>652</v>
      </c>
      <c r="E740" s="22" t="s">
        <v>36</v>
      </c>
      <c r="F740" t="s">
        <v>796</v>
      </c>
      <c r="G740" t="s">
        <v>1346</v>
      </c>
    </row>
    <row r="741" spans="2:7" ht="14.25">
      <c r="B741" s="22">
        <v>740</v>
      </c>
      <c r="C741" s="22" t="s">
        <v>665</v>
      </c>
      <c r="D741" s="22" t="s">
        <v>652</v>
      </c>
      <c r="E741" s="22" t="s">
        <v>36</v>
      </c>
      <c r="F741" t="s">
        <v>796</v>
      </c>
      <c r="G741" t="s">
        <v>1347</v>
      </c>
    </row>
    <row r="742" spans="2:7" ht="14.25">
      <c r="B742" s="22">
        <v>741</v>
      </c>
      <c r="C742" s="22" t="s">
        <v>666</v>
      </c>
      <c r="D742" s="22" t="s">
        <v>652</v>
      </c>
      <c r="E742" s="22" t="s">
        <v>36</v>
      </c>
      <c r="F742" t="s">
        <v>796</v>
      </c>
      <c r="G742" t="s">
        <v>1348</v>
      </c>
    </row>
    <row r="743" spans="2:7" ht="14.25">
      <c r="B743" s="22">
        <v>742</v>
      </c>
      <c r="C743" s="22" t="s">
        <v>167</v>
      </c>
      <c r="D743" s="22" t="s">
        <v>652</v>
      </c>
      <c r="E743" s="22" t="s">
        <v>36</v>
      </c>
      <c r="F743" t="s">
        <v>796</v>
      </c>
      <c r="G743" t="s">
        <v>921</v>
      </c>
    </row>
    <row r="744" spans="2:7" ht="14.25">
      <c r="B744" s="22">
        <v>743</v>
      </c>
      <c r="C744" s="22" t="s">
        <v>667</v>
      </c>
      <c r="D744" s="22" t="s">
        <v>652</v>
      </c>
      <c r="E744" s="22" t="s">
        <v>60</v>
      </c>
      <c r="F744" s="44" t="s">
        <v>796</v>
      </c>
      <c r="G744" s="44" t="s">
        <v>1349</v>
      </c>
    </row>
    <row r="745" spans="2:7" ht="14.25">
      <c r="B745" s="22">
        <v>744</v>
      </c>
      <c r="C745" s="22" t="s">
        <v>668</v>
      </c>
      <c r="D745" s="22" t="s">
        <v>652</v>
      </c>
      <c r="E745" s="22" t="s">
        <v>60</v>
      </c>
      <c r="F745" s="44" t="s">
        <v>797</v>
      </c>
      <c r="G745" s="44" t="s">
        <v>1350</v>
      </c>
    </row>
    <row r="746" spans="2:7" ht="14.25">
      <c r="B746" s="22">
        <v>745</v>
      </c>
      <c r="C746" s="22" t="s">
        <v>669</v>
      </c>
      <c r="D746" s="22" t="s">
        <v>652</v>
      </c>
      <c r="E746" s="22" t="s">
        <v>60</v>
      </c>
      <c r="F746" s="44" t="s">
        <v>796</v>
      </c>
      <c r="G746" s="44" t="s">
        <v>1351</v>
      </c>
    </row>
    <row r="747" spans="2:7" ht="14.25">
      <c r="B747" s="22">
        <v>746</v>
      </c>
      <c r="C747" s="22" t="s">
        <v>670</v>
      </c>
      <c r="D747" s="22" t="s">
        <v>652</v>
      </c>
      <c r="E747" s="22" t="s">
        <v>60</v>
      </c>
      <c r="F747" s="44" t="s">
        <v>796</v>
      </c>
      <c r="G747" s="44" t="s">
        <v>1352</v>
      </c>
    </row>
    <row r="748" spans="2:7" ht="14.25">
      <c r="B748" s="22">
        <v>747</v>
      </c>
      <c r="C748" s="22" t="s">
        <v>671</v>
      </c>
      <c r="D748" s="22" t="s">
        <v>652</v>
      </c>
      <c r="E748" s="22" t="s">
        <v>60</v>
      </c>
      <c r="F748" s="44" t="s">
        <v>796</v>
      </c>
      <c r="G748" s="44" t="s">
        <v>1353</v>
      </c>
    </row>
    <row r="749" spans="2:7" ht="14.25">
      <c r="B749" s="22">
        <v>748</v>
      </c>
      <c r="C749" s="22" t="s">
        <v>672</v>
      </c>
      <c r="D749" s="22" t="s">
        <v>652</v>
      </c>
      <c r="E749" s="22" t="s">
        <v>60</v>
      </c>
      <c r="F749" s="44" t="s">
        <v>796</v>
      </c>
      <c r="G749" s="44" t="s">
        <v>1354</v>
      </c>
    </row>
    <row r="750" spans="2:7" ht="14.25">
      <c r="B750" s="22">
        <v>749</v>
      </c>
      <c r="C750" s="22" t="s">
        <v>673</v>
      </c>
      <c r="D750" s="22" t="s">
        <v>652</v>
      </c>
      <c r="E750" s="22" t="s">
        <v>60</v>
      </c>
      <c r="F750" s="44" t="s">
        <v>796</v>
      </c>
      <c r="G750" s="44" t="s">
        <v>1355</v>
      </c>
    </row>
    <row r="751" spans="2:7" ht="14.25">
      <c r="B751" s="22">
        <v>750</v>
      </c>
      <c r="C751" s="22" t="s">
        <v>674</v>
      </c>
      <c r="D751" s="22" t="s">
        <v>652</v>
      </c>
      <c r="E751" s="22" t="s">
        <v>60</v>
      </c>
      <c r="F751" s="44" t="s">
        <v>796</v>
      </c>
      <c r="G751" s="44" t="s">
        <v>1356</v>
      </c>
    </row>
    <row r="752" spans="2:7" ht="14.25">
      <c r="B752" s="22">
        <v>751</v>
      </c>
      <c r="C752" s="22" t="s">
        <v>675</v>
      </c>
      <c r="D752" s="22" t="s">
        <v>652</v>
      </c>
      <c r="E752" s="22" t="s">
        <v>60</v>
      </c>
      <c r="F752" s="44" t="s">
        <v>797</v>
      </c>
      <c r="G752" s="44" t="s">
        <v>1357</v>
      </c>
    </row>
    <row r="753" spans="2:7" ht="14.25">
      <c r="B753" s="22">
        <v>752</v>
      </c>
      <c r="C753" s="22" t="s">
        <v>676</v>
      </c>
      <c r="D753" s="22" t="s">
        <v>652</v>
      </c>
      <c r="E753" s="22" t="s">
        <v>60</v>
      </c>
      <c r="F753" s="44" t="s">
        <v>796</v>
      </c>
      <c r="G753" s="44" t="s">
        <v>1358</v>
      </c>
    </row>
    <row r="754" spans="2:7" ht="14.25">
      <c r="B754" s="22">
        <v>753</v>
      </c>
      <c r="C754" s="22" t="s">
        <v>677</v>
      </c>
      <c r="D754" s="22" t="s">
        <v>652</v>
      </c>
      <c r="E754" s="22" t="s">
        <v>60</v>
      </c>
      <c r="F754" s="44" t="s">
        <v>796</v>
      </c>
      <c r="G754" s="44" t="s">
        <v>1359</v>
      </c>
    </row>
    <row r="755" spans="2:7" ht="14.25">
      <c r="B755" s="22">
        <v>754</v>
      </c>
      <c r="C755" s="22" t="s">
        <v>678</v>
      </c>
      <c r="D755" s="22" t="s">
        <v>652</v>
      </c>
      <c r="E755" s="22" t="s">
        <v>60</v>
      </c>
      <c r="F755" s="44" t="s">
        <v>796</v>
      </c>
      <c r="G755" s="44" t="s">
        <v>1360</v>
      </c>
    </row>
    <row r="756" spans="2:7" ht="14.25">
      <c r="B756" s="22">
        <v>755</v>
      </c>
      <c r="C756" s="22" t="s">
        <v>679</v>
      </c>
      <c r="D756" s="22" t="s">
        <v>652</v>
      </c>
      <c r="E756" s="22" t="s">
        <v>60</v>
      </c>
      <c r="F756" s="44" t="s">
        <v>796</v>
      </c>
      <c r="G756" s="44" t="s">
        <v>1361</v>
      </c>
    </row>
    <row r="757" spans="2:7" ht="14.25">
      <c r="B757" s="22">
        <v>756</v>
      </c>
      <c r="C757" s="22" t="s">
        <v>680</v>
      </c>
      <c r="D757" s="22" t="s">
        <v>652</v>
      </c>
      <c r="E757" s="22" t="s">
        <v>60</v>
      </c>
      <c r="F757" s="44" t="s">
        <v>796</v>
      </c>
      <c r="G757" s="44" t="s">
        <v>680</v>
      </c>
    </row>
    <row r="758" spans="2:7" ht="14.25">
      <c r="B758" s="22">
        <v>757</v>
      </c>
      <c r="C758" s="22" t="s">
        <v>681</v>
      </c>
      <c r="D758" s="22" t="s">
        <v>652</v>
      </c>
      <c r="E758" s="22" t="s">
        <v>60</v>
      </c>
      <c r="F758" s="44" t="s">
        <v>797</v>
      </c>
      <c r="G758" s="44" t="s">
        <v>1362</v>
      </c>
    </row>
    <row r="759" spans="2:7" ht="14.25">
      <c r="B759" s="22">
        <v>758</v>
      </c>
      <c r="C759" s="22" t="s">
        <v>682</v>
      </c>
      <c r="D759" s="22" t="s">
        <v>652</v>
      </c>
      <c r="E759" s="22" t="s">
        <v>60</v>
      </c>
      <c r="F759" s="44" t="s">
        <v>796</v>
      </c>
      <c r="G759" s="44" t="s">
        <v>1363</v>
      </c>
    </row>
    <row r="760" spans="2:7" ht="14.25">
      <c r="B760" s="22">
        <v>759</v>
      </c>
      <c r="C760" s="22" t="s">
        <v>683</v>
      </c>
      <c r="D760" s="22" t="s">
        <v>652</v>
      </c>
      <c r="E760" s="22" t="s">
        <v>60</v>
      </c>
      <c r="F760" s="44" t="s">
        <v>796</v>
      </c>
      <c r="G760" s="44" t="s">
        <v>1364</v>
      </c>
    </row>
    <row r="761" spans="2:7" ht="14.25">
      <c r="B761" s="22">
        <v>760</v>
      </c>
      <c r="C761" s="22" t="s">
        <v>684</v>
      </c>
      <c r="D761" s="22" t="s">
        <v>652</v>
      </c>
      <c r="E761" s="22" t="s">
        <v>60</v>
      </c>
      <c r="F761" s="44" t="s">
        <v>796</v>
      </c>
      <c r="G761" s="44" t="s">
        <v>1365</v>
      </c>
    </row>
    <row r="762" spans="2:7" ht="14.25">
      <c r="B762" s="22">
        <v>761</v>
      </c>
      <c r="C762" s="22" t="s">
        <v>685</v>
      </c>
      <c r="D762" s="22" t="s">
        <v>652</v>
      </c>
      <c r="E762" s="22" t="s">
        <v>60</v>
      </c>
      <c r="F762" s="44" t="s">
        <v>796</v>
      </c>
      <c r="G762" s="44" t="s">
        <v>1366</v>
      </c>
    </row>
    <row r="763" spans="2:7" ht="14.25">
      <c r="B763" s="22">
        <v>762</v>
      </c>
      <c r="C763" s="22" t="s">
        <v>678</v>
      </c>
      <c r="D763" s="22" t="s">
        <v>652</v>
      </c>
      <c r="E763" s="22" t="s">
        <v>60</v>
      </c>
      <c r="F763" s="44" t="s">
        <v>796</v>
      </c>
      <c r="G763" s="44" t="s">
        <v>1360</v>
      </c>
    </row>
    <row r="764" spans="2:7" ht="14.25">
      <c r="B764" s="22">
        <v>763</v>
      </c>
      <c r="C764" s="22" t="s">
        <v>686</v>
      </c>
      <c r="D764" s="22" t="s">
        <v>652</v>
      </c>
      <c r="E764" s="22" t="s">
        <v>60</v>
      </c>
      <c r="F764" s="44" t="s">
        <v>796</v>
      </c>
      <c r="G764" s="44" t="s">
        <v>1367</v>
      </c>
    </row>
    <row r="765" spans="2:7" ht="14.25">
      <c r="B765" s="22">
        <v>764</v>
      </c>
      <c r="C765" s="22" t="s">
        <v>687</v>
      </c>
      <c r="D765" s="22" t="s">
        <v>652</v>
      </c>
      <c r="E765" s="22" t="s">
        <v>60</v>
      </c>
      <c r="F765" s="44" t="s">
        <v>796</v>
      </c>
      <c r="G765" s="44" t="s">
        <v>1368</v>
      </c>
    </row>
    <row r="766" spans="2:7" ht="14.25">
      <c r="B766" s="22">
        <v>765</v>
      </c>
      <c r="C766" s="22" t="s">
        <v>688</v>
      </c>
      <c r="D766" s="22" t="s">
        <v>652</v>
      </c>
      <c r="E766" s="22" t="s">
        <v>60</v>
      </c>
      <c r="F766" s="44" t="s">
        <v>796</v>
      </c>
      <c r="G766" s="44" t="s">
        <v>1369</v>
      </c>
    </row>
    <row r="767" spans="2:7" ht="14.25">
      <c r="B767" s="22">
        <v>766</v>
      </c>
      <c r="C767" s="22" t="s">
        <v>689</v>
      </c>
      <c r="D767" s="22" t="s">
        <v>652</v>
      </c>
      <c r="E767" s="22" t="s">
        <v>60</v>
      </c>
      <c r="F767" s="44" t="s">
        <v>796</v>
      </c>
      <c r="G767" s="44" t="s">
        <v>1370</v>
      </c>
    </row>
    <row r="768" spans="2:7" ht="14.25">
      <c r="B768" s="22">
        <v>767</v>
      </c>
      <c r="C768" s="22" t="s">
        <v>690</v>
      </c>
      <c r="D768" s="22" t="s">
        <v>652</v>
      </c>
      <c r="E768" s="22" t="s">
        <v>60</v>
      </c>
      <c r="F768" s="44" t="s">
        <v>796</v>
      </c>
      <c r="G768" s="44" t="s">
        <v>1371</v>
      </c>
    </row>
    <row r="769" spans="2:7" ht="14.25">
      <c r="B769" s="22">
        <v>768</v>
      </c>
      <c r="C769" s="22" t="s">
        <v>691</v>
      </c>
      <c r="D769" s="22" t="s">
        <v>652</v>
      </c>
      <c r="E769" s="22" t="s">
        <v>60</v>
      </c>
      <c r="F769" s="44" t="s">
        <v>796</v>
      </c>
      <c r="G769" s="44" t="s">
        <v>1372</v>
      </c>
    </row>
    <row r="770" spans="2:7" ht="14.25">
      <c r="B770" s="22">
        <v>769</v>
      </c>
      <c r="C770" s="22" t="s">
        <v>692</v>
      </c>
      <c r="D770" s="22" t="s">
        <v>652</v>
      </c>
      <c r="E770" s="22" t="s">
        <v>60</v>
      </c>
      <c r="F770" s="44" t="s">
        <v>796</v>
      </c>
      <c r="G770" s="44" t="s">
        <v>1373</v>
      </c>
    </row>
    <row r="771" spans="2:7" ht="14.25">
      <c r="B771" s="22">
        <v>770</v>
      </c>
      <c r="C771" s="22" t="s">
        <v>693</v>
      </c>
      <c r="D771" s="22" t="s">
        <v>652</v>
      </c>
      <c r="E771" s="22" t="s">
        <v>60</v>
      </c>
      <c r="F771" s="44" t="s">
        <v>797</v>
      </c>
      <c r="G771" s="44" t="s">
        <v>1374</v>
      </c>
    </row>
    <row r="772" spans="2:7" ht="14.25">
      <c r="B772" s="22">
        <v>771</v>
      </c>
      <c r="C772" s="22" t="s">
        <v>641</v>
      </c>
      <c r="D772" s="22" t="s">
        <v>652</v>
      </c>
      <c r="E772" s="22" t="s">
        <v>60</v>
      </c>
      <c r="F772" s="44" t="s">
        <v>798</v>
      </c>
      <c r="G772" s="44" t="s">
        <v>1375</v>
      </c>
    </row>
    <row r="773" spans="2:7" ht="14.25">
      <c r="B773" s="22">
        <v>772</v>
      </c>
      <c r="C773" s="22" t="s">
        <v>694</v>
      </c>
      <c r="D773" s="22" t="s">
        <v>652</v>
      </c>
      <c r="E773" s="22" t="s">
        <v>60</v>
      </c>
      <c r="F773" s="44" t="s">
        <v>798</v>
      </c>
    </row>
    <row r="774" spans="2:7" ht="14.25">
      <c r="B774" s="22">
        <v>773</v>
      </c>
      <c r="C774" s="22" t="s">
        <v>695</v>
      </c>
      <c r="D774" s="22" t="s">
        <v>652</v>
      </c>
      <c r="E774" s="22" t="s">
        <v>60</v>
      </c>
      <c r="F774" s="44" t="s">
        <v>798</v>
      </c>
      <c r="G774" s="44" t="s">
        <v>1376</v>
      </c>
    </row>
    <row r="775" spans="2:7" ht="14.25">
      <c r="B775" s="22">
        <v>774</v>
      </c>
      <c r="C775" s="22" t="s">
        <v>696</v>
      </c>
      <c r="D775" s="22" t="s">
        <v>652</v>
      </c>
      <c r="E775" s="22" t="s">
        <v>60</v>
      </c>
      <c r="F775" s="44" t="s">
        <v>798</v>
      </c>
    </row>
    <row r="776" spans="2:7" ht="14.25">
      <c r="B776" s="22">
        <v>775</v>
      </c>
      <c r="C776" s="22" t="s">
        <v>697</v>
      </c>
      <c r="D776" s="22" t="s">
        <v>652</v>
      </c>
      <c r="E776" s="22" t="s">
        <v>60</v>
      </c>
      <c r="F776" s="44" t="s">
        <v>796</v>
      </c>
      <c r="G776" s="44" t="s">
        <v>1377</v>
      </c>
    </row>
    <row r="777" spans="2:7" ht="14.25">
      <c r="B777" s="22">
        <v>776</v>
      </c>
      <c r="C777" s="22" t="s">
        <v>698</v>
      </c>
      <c r="D777" s="22" t="s">
        <v>652</v>
      </c>
      <c r="E777" s="22" t="s">
        <v>60</v>
      </c>
      <c r="F777" s="44" t="s">
        <v>796</v>
      </c>
      <c r="G777" s="44" t="s">
        <v>1378</v>
      </c>
    </row>
    <row r="778" spans="2:7" ht="14.25">
      <c r="B778" s="22">
        <v>777</v>
      </c>
      <c r="C778" s="22" t="s">
        <v>556</v>
      </c>
      <c r="D778" s="22" t="s">
        <v>652</v>
      </c>
      <c r="E778" s="22" t="s">
        <v>60</v>
      </c>
      <c r="F778" s="44" t="s">
        <v>796</v>
      </c>
      <c r="G778" s="44" t="s">
        <v>1379</v>
      </c>
    </row>
    <row r="779" spans="2:7" ht="14.25">
      <c r="B779" s="22">
        <v>778</v>
      </c>
      <c r="C779" s="22" t="s">
        <v>699</v>
      </c>
      <c r="D779" s="22" t="s">
        <v>652</v>
      </c>
      <c r="E779" s="22" t="s">
        <v>60</v>
      </c>
      <c r="F779" s="44" t="s">
        <v>796</v>
      </c>
      <c r="G779" s="44" t="s">
        <v>1380</v>
      </c>
    </row>
    <row r="780" spans="2:7" ht="14.25">
      <c r="B780" s="22">
        <v>779</v>
      </c>
      <c r="C780" s="22" t="s">
        <v>700</v>
      </c>
      <c r="D780" s="22" t="s">
        <v>652</v>
      </c>
      <c r="E780" s="22" t="s">
        <v>84</v>
      </c>
      <c r="F780" s="44" t="s">
        <v>796</v>
      </c>
      <c r="G780" s="44" t="s">
        <v>490</v>
      </c>
    </row>
    <row r="781" spans="2:7" ht="14.25">
      <c r="B781" s="22">
        <v>780</v>
      </c>
      <c r="C781" s="22" t="s">
        <v>701</v>
      </c>
      <c r="D781" s="22" t="s">
        <v>652</v>
      </c>
      <c r="E781" s="22" t="s">
        <v>84</v>
      </c>
      <c r="F781" s="44" t="s">
        <v>796</v>
      </c>
      <c r="G781" s="44" t="s">
        <v>1381</v>
      </c>
    </row>
    <row r="782" spans="2:7" ht="14.25">
      <c r="B782" s="22">
        <v>781</v>
      </c>
      <c r="C782" s="22" t="s">
        <v>702</v>
      </c>
      <c r="D782" s="22" t="s">
        <v>652</v>
      </c>
      <c r="E782" s="22" t="s">
        <v>84</v>
      </c>
      <c r="F782" s="44" t="s">
        <v>796</v>
      </c>
      <c r="G782" s="44" t="s">
        <v>1382</v>
      </c>
    </row>
    <row r="783" spans="2:7" ht="14.25">
      <c r="B783" s="22">
        <v>782</v>
      </c>
      <c r="C783" s="22" t="s">
        <v>703</v>
      </c>
      <c r="D783" s="22" t="s">
        <v>652</v>
      </c>
      <c r="E783" s="22" t="s">
        <v>84</v>
      </c>
      <c r="F783" s="44" t="s">
        <v>796</v>
      </c>
      <c r="G783" s="44" t="s">
        <v>1383</v>
      </c>
    </row>
    <row r="784" spans="2:7" ht="14.25">
      <c r="B784" s="22">
        <v>783</v>
      </c>
      <c r="C784" s="22" t="s">
        <v>704</v>
      </c>
      <c r="D784" s="22" t="s">
        <v>652</v>
      </c>
      <c r="E784" s="22" t="s">
        <v>84</v>
      </c>
      <c r="F784" s="44" t="s">
        <v>796</v>
      </c>
      <c r="G784" s="44" t="s">
        <v>1384</v>
      </c>
    </row>
    <row r="785" spans="2:7" ht="14.25">
      <c r="B785" s="22">
        <v>784</v>
      </c>
      <c r="C785" s="22" t="s">
        <v>503</v>
      </c>
      <c r="D785" s="22" t="s">
        <v>652</v>
      </c>
      <c r="E785" s="22" t="s">
        <v>84</v>
      </c>
      <c r="F785" s="44" t="s">
        <v>797</v>
      </c>
      <c r="G785" s="44" t="s">
        <v>1385</v>
      </c>
    </row>
    <row r="786" spans="2:7" ht="14.25">
      <c r="B786" s="22">
        <v>785</v>
      </c>
      <c r="C786" s="22" t="s">
        <v>705</v>
      </c>
      <c r="D786" s="22" t="s">
        <v>652</v>
      </c>
      <c r="E786" s="22" t="s">
        <v>84</v>
      </c>
      <c r="F786" s="44" t="s">
        <v>796</v>
      </c>
      <c r="G786" s="44" t="s">
        <v>1386</v>
      </c>
    </row>
    <row r="787" spans="2:7" ht="14.25">
      <c r="B787" s="22">
        <v>786</v>
      </c>
      <c r="C787" s="22" t="s">
        <v>706</v>
      </c>
      <c r="D787" s="22" t="s">
        <v>652</v>
      </c>
      <c r="E787" s="22" t="s">
        <v>84</v>
      </c>
      <c r="F787" s="44" t="s">
        <v>798</v>
      </c>
    </row>
    <row r="788" spans="2:7" ht="14.25">
      <c r="B788" s="22">
        <v>787</v>
      </c>
      <c r="C788" s="22" t="s">
        <v>707</v>
      </c>
      <c r="D788" s="22" t="s">
        <v>652</v>
      </c>
      <c r="E788" s="22" t="s">
        <v>84</v>
      </c>
      <c r="F788" s="44" t="s">
        <v>798</v>
      </c>
    </row>
    <row r="789" spans="2:7" ht="14.25">
      <c r="B789" s="22">
        <v>788</v>
      </c>
      <c r="C789" s="22" t="s">
        <v>708</v>
      </c>
      <c r="D789" s="22" t="s">
        <v>652</v>
      </c>
      <c r="E789" s="22" t="s">
        <v>84</v>
      </c>
      <c r="F789" s="44" t="s">
        <v>797</v>
      </c>
      <c r="G789" s="44" t="s">
        <v>1387</v>
      </c>
    </row>
    <row r="790" spans="2:7" ht="14.25">
      <c r="B790" s="22">
        <v>789</v>
      </c>
      <c r="C790" s="22" t="s">
        <v>709</v>
      </c>
      <c r="D790" s="22" t="s">
        <v>652</v>
      </c>
      <c r="E790" s="22" t="s">
        <v>84</v>
      </c>
      <c r="F790" s="44" t="s">
        <v>796</v>
      </c>
      <c r="G790" s="44" t="s">
        <v>709</v>
      </c>
    </row>
    <row r="791" spans="2:7" ht="14.25">
      <c r="B791" s="22">
        <v>790</v>
      </c>
      <c r="C791" s="22" t="s">
        <v>710</v>
      </c>
      <c r="D791" s="22" t="s">
        <v>652</v>
      </c>
      <c r="E791" s="22" t="s">
        <v>84</v>
      </c>
      <c r="F791" s="44" t="s">
        <v>797</v>
      </c>
      <c r="G791" s="44" t="s">
        <v>1388</v>
      </c>
    </row>
    <row r="792" spans="2:7" ht="14.25">
      <c r="B792" s="22">
        <v>791</v>
      </c>
      <c r="C792" s="22" t="s">
        <v>711</v>
      </c>
      <c r="D792" s="22" t="s">
        <v>652</v>
      </c>
      <c r="E792" s="22" t="s">
        <v>84</v>
      </c>
      <c r="F792" s="44" t="s">
        <v>798</v>
      </c>
      <c r="G792" s="44" t="s">
        <v>1389</v>
      </c>
    </row>
    <row r="793" spans="2:7" ht="14.25">
      <c r="B793" s="22">
        <v>792</v>
      </c>
      <c r="C793" s="22" t="s">
        <v>712</v>
      </c>
      <c r="D793" s="22" t="s">
        <v>652</v>
      </c>
      <c r="E793" s="22" t="s">
        <v>84</v>
      </c>
      <c r="F793" s="44" t="s">
        <v>796</v>
      </c>
      <c r="G793" s="44" t="s">
        <v>1390</v>
      </c>
    </row>
    <row r="794" spans="2:7" ht="14.25">
      <c r="B794" s="22">
        <v>793</v>
      </c>
      <c r="C794" s="22" t="s">
        <v>713</v>
      </c>
      <c r="D794" s="22" t="s">
        <v>652</v>
      </c>
      <c r="E794" s="22" t="s">
        <v>84</v>
      </c>
      <c r="F794" s="44" t="s">
        <v>796</v>
      </c>
      <c r="G794" s="44" t="s">
        <v>1391</v>
      </c>
    </row>
    <row r="795" spans="2:7" ht="14.25">
      <c r="B795" s="22">
        <v>794</v>
      </c>
      <c r="C795" s="22" t="s">
        <v>714</v>
      </c>
      <c r="D795" s="22" t="s">
        <v>652</v>
      </c>
      <c r="E795" s="22" t="s">
        <v>84</v>
      </c>
      <c r="F795" s="44" t="s">
        <v>796</v>
      </c>
      <c r="G795" s="44" t="s">
        <v>1392</v>
      </c>
    </row>
    <row r="796" spans="2:7" ht="14.25">
      <c r="B796" s="22">
        <v>795</v>
      </c>
      <c r="C796" s="22" t="s">
        <v>715</v>
      </c>
      <c r="D796" s="22" t="s">
        <v>652</v>
      </c>
      <c r="E796" s="22" t="s">
        <v>84</v>
      </c>
      <c r="F796" s="44" t="s">
        <v>796</v>
      </c>
      <c r="G796" s="44" t="s">
        <v>1393</v>
      </c>
    </row>
    <row r="797" spans="2:7" ht="14.25">
      <c r="B797" s="22">
        <v>796</v>
      </c>
      <c r="C797" s="22" t="s">
        <v>716</v>
      </c>
      <c r="D797" s="22" t="s">
        <v>652</v>
      </c>
      <c r="E797" s="22" t="s">
        <v>84</v>
      </c>
      <c r="F797" s="44" t="s">
        <v>798</v>
      </c>
    </row>
    <row r="798" spans="2:7" ht="14.25">
      <c r="B798" s="22">
        <v>797</v>
      </c>
      <c r="C798" s="22" t="s">
        <v>717</v>
      </c>
      <c r="D798" s="22" t="s">
        <v>652</v>
      </c>
      <c r="E798" s="22" t="s">
        <v>84</v>
      </c>
      <c r="F798" s="44" t="s">
        <v>796</v>
      </c>
      <c r="G798" s="44" t="s">
        <v>1058</v>
      </c>
    </row>
    <row r="799" spans="2:7" ht="14.25">
      <c r="B799" s="22">
        <v>798</v>
      </c>
      <c r="C799" s="22" t="s">
        <v>718</v>
      </c>
      <c r="D799" s="22" t="s">
        <v>652</v>
      </c>
      <c r="E799" s="22" t="s">
        <v>84</v>
      </c>
      <c r="F799" s="44" t="s">
        <v>796</v>
      </c>
      <c r="G799" s="44" t="s">
        <v>1394</v>
      </c>
    </row>
    <row r="800" spans="2:7" ht="14.25">
      <c r="B800" s="22">
        <v>799</v>
      </c>
      <c r="C800" s="22" t="s">
        <v>719</v>
      </c>
      <c r="D800" s="22" t="s">
        <v>652</v>
      </c>
      <c r="E800" s="22" t="s">
        <v>105</v>
      </c>
      <c r="F800" s="44" t="s">
        <v>798</v>
      </c>
      <c r="G800" s="44" t="s">
        <v>1395</v>
      </c>
    </row>
    <row r="801" spans="2:7" ht="14.25">
      <c r="B801" s="22">
        <v>800</v>
      </c>
      <c r="C801" s="22" t="s">
        <v>720</v>
      </c>
      <c r="D801" s="22" t="s">
        <v>652</v>
      </c>
      <c r="E801" s="22" t="s">
        <v>105</v>
      </c>
      <c r="F801" s="44" t="s">
        <v>796</v>
      </c>
      <c r="G801" s="44" t="s">
        <v>1396</v>
      </c>
    </row>
    <row r="802" spans="2:7" ht="14.25">
      <c r="B802" s="22">
        <v>801</v>
      </c>
      <c r="C802" s="22" t="s">
        <v>721</v>
      </c>
      <c r="D802" s="22" t="s">
        <v>652</v>
      </c>
      <c r="E802" s="22" t="s">
        <v>105</v>
      </c>
      <c r="F802" s="44" t="s">
        <v>797</v>
      </c>
      <c r="G802" s="44" t="s">
        <v>1397</v>
      </c>
    </row>
    <row r="803" spans="2:7" ht="14.25">
      <c r="B803" s="22">
        <v>802</v>
      </c>
      <c r="C803" s="22" t="s">
        <v>722</v>
      </c>
      <c r="D803" s="22" t="s">
        <v>652</v>
      </c>
      <c r="E803" s="22" t="s">
        <v>105</v>
      </c>
      <c r="F803" s="44" t="s">
        <v>797</v>
      </c>
      <c r="G803" s="44" t="s">
        <v>1398</v>
      </c>
    </row>
    <row r="804" spans="2:7" ht="14.25">
      <c r="B804" s="22">
        <v>803</v>
      </c>
      <c r="C804" s="22" t="s">
        <v>723</v>
      </c>
      <c r="D804" s="22" t="s">
        <v>652</v>
      </c>
      <c r="E804" s="22" t="s">
        <v>105</v>
      </c>
      <c r="F804" s="44" t="s">
        <v>796</v>
      </c>
      <c r="G804" s="44" t="s">
        <v>870</v>
      </c>
    </row>
    <row r="805" spans="2:7" ht="14.25">
      <c r="B805" s="22">
        <v>804</v>
      </c>
      <c r="C805" s="22" t="s">
        <v>724</v>
      </c>
      <c r="D805" s="22" t="s">
        <v>652</v>
      </c>
      <c r="E805" s="22" t="s">
        <v>105</v>
      </c>
      <c r="F805" s="44" t="s">
        <v>797</v>
      </c>
      <c r="G805" s="44" t="s">
        <v>1399</v>
      </c>
    </row>
    <row r="806" spans="2:7" ht="14.25">
      <c r="B806" s="22">
        <v>805</v>
      </c>
      <c r="C806" s="22" t="s">
        <v>725</v>
      </c>
      <c r="D806" s="22" t="s">
        <v>726</v>
      </c>
      <c r="E806" s="22" t="s">
        <v>36</v>
      </c>
      <c r="F806" s="44" t="s">
        <v>797</v>
      </c>
      <c r="G806" s="44" t="s">
        <v>1400</v>
      </c>
    </row>
    <row r="807" spans="2:7" ht="14.25">
      <c r="B807" s="22">
        <v>806</v>
      </c>
      <c r="C807" s="22" t="s">
        <v>727</v>
      </c>
      <c r="D807" s="22" t="s">
        <v>726</v>
      </c>
      <c r="E807" s="22" t="s">
        <v>36</v>
      </c>
      <c r="F807" t="s">
        <v>796</v>
      </c>
      <c r="G807" s="44" t="s">
        <v>1401</v>
      </c>
    </row>
    <row r="808" spans="2:7" ht="14.25">
      <c r="B808" s="22">
        <v>807</v>
      </c>
      <c r="C808" s="22" t="s">
        <v>486</v>
      </c>
      <c r="D808" s="22" t="s">
        <v>726</v>
      </c>
      <c r="E808" s="22" t="s">
        <v>36</v>
      </c>
      <c r="F808" t="s">
        <v>796</v>
      </c>
      <c r="G808" s="44" t="s">
        <v>1201</v>
      </c>
    </row>
    <row r="809" spans="2:7" ht="14.25">
      <c r="B809" s="22">
        <v>808</v>
      </c>
      <c r="C809" s="22" t="s">
        <v>728</v>
      </c>
      <c r="D809" s="22" t="s">
        <v>726</v>
      </c>
      <c r="E809" s="22" t="s">
        <v>36</v>
      </c>
      <c r="F809" t="s">
        <v>796</v>
      </c>
      <c r="G809" s="44" t="s">
        <v>1402</v>
      </c>
    </row>
    <row r="810" spans="2:7" ht="14.25">
      <c r="B810" s="22">
        <v>809</v>
      </c>
      <c r="C810" s="22" t="s">
        <v>406</v>
      </c>
      <c r="D810" s="22" t="s">
        <v>726</v>
      </c>
      <c r="E810" s="22" t="s">
        <v>36</v>
      </c>
      <c r="F810" t="s">
        <v>796</v>
      </c>
      <c r="G810" s="44" t="s">
        <v>1140</v>
      </c>
    </row>
    <row r="811" spans="2:7" ht="14.25">
      <c r="B811" s="22">
        <v>810</v>
      </c>
      <c r="C811" s="22" t="s">
        <v>729</v>
      </c>
      <c r="D811" s="22" t="s">
        <v>726</v>
      </c>
      <c r="E811" s="22" t="s">
        <v>36</v>
      </c>
      <c r="F811" t="s">
        <v>797</v>
      </c>
      <c r="G811" s="44" t="s">
        <v>1403</v>
      </c>
    </row>
    <row r="812" spans="2:7" ht="14.25">
      <c r="B812" s="22">
        <v>811</v>
      </c>
      <c r="C812" s="22" t="s">
        <v>730</v>
      </c>
      <c r="D812" s="22" t="s">
        <v>726</v>
      </c>
      <c r="E812" s="22" t="s">
        <v>36</v>
      </c>
      <c r="F812" t="s">
        <v>796</v>
      </c>
      <c r="G812" s="44" t="s">
        <v>1404</v>
      </c>
    </row>
    <row r="813" spans="2:7" ht="14.25">
      <c r="B813" s="22">
        <v>812</v>
      </c>
      <c r="C813" s="22" t="s">
        <v>603</v>
      </c>
      <c r="D813" s="22" t="s">
        <v>726</v>
      </c>
      <c r="E813" s="22" t="s">
        <v>36</v>
      </c>
      <c r="F813" t="s">
        <v>796</v>
      </c>
      <c r="G813" s="44" t="s">
        <v>1289</v>
      </c>
    </row>
    <row r="814" spans="2:7" ht="14.25">
      <c r="B814" s="22">
        <v>813</v>
      </c>
      <c r="C814" s="22" t="s">
        <v>421</v>
      </c>
      <c r="D814" s="22" t="s">
        <v>726</v>
      </c>
      <c r="E814" s="22" t="s">
        <v>36</v>
      </c>
      <c r="F814" t="s">
        <v>797</v>
      </c>
      <c r="G814" s="44" t="s">
        <v>1405</v>
      </c>
    </row>
    <row r="815" spans="2:7" ht="14.25">
      <c r="B815" s="22">
        <v>814</v>
      </c>
      <c r="C815" s="22" t="s">
        <v>57</v>
      </c>
      <c r="D815" s="22" t="s">
        <v>726</v>
      </c>
      <c r="E815" s="22" t="s">
        <v>36</v>
      </c>
      <c r="F815" t="s">
        <v>796</v>
      </c>
      <c r="G815" s="44" t="s">
        <v>1406</v>
      </c>
    </row>
    <row r="816" spans="2:7" ht="14.25">
      <c r="B816" s="22">
        <v>815</v>
      </c>
      <c r="C816" s="22" t="s">
        <v>39</v>
      </c>
      <c r="D816" s="22" t="s">
        <v>726</v>
      </c>
      <c r="E816" s="22" t="s">
        <v>36</v>
      </c>
      <c r="F816" t="s">
        <v>796</v>
      </c>
      <c r="G816" s="44" t="s">
        <v>1407</v>
      </c>
    </row>
    <row r="817" spans="2:7" ht="14.25">
      <c r="B817" s="22">
        <v>816</v>
      </c>
      <c r="C817" s="22" t="s">
        <v>575</v>
      </c>
      <c r="D817" s="22" t="s">
        <v>726</v>
      </c>
      <c r="E817" s="22" t="s">
        <v>36</v>
      </c>
      <c r="F817" t="s">
        <v>796</v>
      </c>
      <c r="G817" s="44" t="s">
        <v>1272</v>
      </c>
    </row>
    <row r="818" spans="2:7" ht="14.25">
      <c r="B818" s="22">
        <v>817</v>
      </c>
      <c r="C818" s="22" t="s">
        <v>731</v>
      </c>
      <c r="D818" s="22" t="s">
        <v>726</v>
      </c>
      <c r="E818" s="22" t="s">
        <v>36</v>
      </c>
      <c r="F818" t="s">
        <v>796</v>
      </c>
      <c r="G818" s="44" t="s">
        <v>1408</v>
      </c>
    </row>
    <row r="819" spans="2:7" ht="14.25">
      <c r="B819" s="22">
        <v>818</v>
      </c>
      <c r="C819" s="22" t="s">
        <v>732</v>
      </c>
      <c r="D819" s="22" t="s">
        <v>726</v>
      </c>
      <c r="E819" s="22" t="s">
        <v>36</v>
      </c>
      <c r="F819" t="s">
        <v>796</v>
      </c>
      <c r="G819" s="44" t="s">
        <v>1409</v>
      </c>
    </row>
    <row r="820" spans="2:7" ht="14.25">
      <c r="B820" s="22">
        <v>819</v>
      </c>
      <c r="C820" s="22" t="s">
        <v>384</v>
      </c>
      <c r="D820" s="22" t="s">
        <v>726</v>
      </c>
      <c r="E820" s="22" t="s">
        <v>36</v>
      </c>
      <c r="F820" t="s">
        <v>796</v>
      </c>
      <c r="G820" s="44" t="s">
        <v>1310</v>
      </c>
    </row>
    <row r="821" spans="2:7" ht="14.25">
      <c r="B821" s="22">
        <v>820</v>
      </c>
      <c r="C821" s="22" t="s">
        <v>603</v>
      </c>
      <c r="D821" s="22" t="s">
        <v>726</v>
      </c>
      <c r="E821" s="22" t="s">
        <v>36</v>
      </c>
      <c r="F821" t="s">
        <v>796</v>
      </c>
      <c r="G821" s="44" t="s">
        <v>1289</v>
      </c>
    </row>
    <row r="822" spans="2:7" ht="14.25">
      <c r="B822" s="22">
        <v>821</v>
      </c>
      <c r="C822" s="22" t="s">
        <v>733</v>
      </c>
      <c r="D822" s="22" t="s">
        <v>726</v>
      </c>
      <c r="E822" s="22" t="s">
        <v>36</v>
      </c>
      <c r="F822" t="s">
        <v>796</v>
      </c>
      <c r="G822" s="44" t="s">
        <v>1410</v>
      </c>
    </row>
    <row r="823" spans="2:7" ht="14.25">
      <c r="B823" s="22">
        <v>822</v>
      </c>
      <c r="C823" s="22" t="s">
        <v>734</v>
      </c>
      <c r="D823" s="22" t="s">
        <v>726</v>
      </c>
      <c r="E823" s="22" t="s">
        <v>60</v>
      </c>
      <c r="F823" s="44" t="s">
        <v>796</v>
      </c>
      <c r="G823" s="44" t="s">
        <v>1411</v>
      </c>
    </row>
    <row r="824" spans="2:7" ht="14.25">
      <c r="B824" s="22">
        <v>823</v>
      </c>
      <c r="C824" s="22" t="s">
        <v>623</v>
      </c>
      <c r="D824" s="22" t="s">
        <v>726</v>
      </c>
      <c r="E824" s="22" t="s">
        <v>60</v>
      </c>
      <c r="F824" s="44" t="s">
        <v>796</v>
      </c>
      <c r="G824" s="44" t="s">
        <v>1412</v>
      </c>
    </row>
    <row r="825" spans="2:7" ht="14.25">
      <c r="B825" s="22">
        <v>824</v>
      </c>
      <c r="C825" s="22" t="s">
        <v>733</v>
      </c>
      <c r="D825" s="22" t="s">
        <v>726</v>
      </c>
      <c r="E825" s="22" t="s">
        <v>60</v>
      </c>
      <c r="F825" s="44" t="s">
        <v>796</v>
      </c>
      <c r="G825" s="44" t="s">
        <v>1410</v>
      </c>
    </row>
    <row r="826" spans="2:7" ht="14.25">
      <c r="B826" s="22">
        <v>825</v>
      </c>
      <c r="C826" s="22" t="s">
        <v>735</v>
      </c>
      <c r="D826" s="22" t="s">
        <v>726</v>
      </c>
      <c r="E826" s="22" t="s">
        <v>60</v>
      </c>
      <c r="F826" s="44" t="s">
        <v>797</v>
      </c>
      <c r="G826" s="44" t="s">
        <v>1413</v>
      </c>
    </row>
    <row r="827" spans="2:7" ht="14.25">
      <c r="B827" s="22">
        <v>826</v>
      </c>
      <c r="C827" s="22" t="s">
        <v>736</v>
      </c>
      <c r="D827" s="22" t="s">
        <v>726</v>
      </c>
      <c r="E827" s="22" t="s">
        <v>60</v>
      </c>
      <c r="F827" s="44" t="s">
        <v>797</v>
      </c>
      <c r="G827" s="44" t="s">
        <v>1415</v>
      </c>
    </row>
    <row r="828" spans="2:7" ht="14.25">
      <c r="B828" s="22">
        <v>827</v>
      </c>
      <c r="C828" s="22" t="s">
        <v>737</v>
      </c>
      <c r="D828" s="22" t="s">
        <v>726</v>
      </c>
      <c r="E828" s="22" t="s">
        <v>60</v>
      </c>
      <c r="F828" s="44" t="s">
        <v>797</v>
      </c>
      <c r="G828" s="44" t="s">
        <v>1414</v>
      </c>
    </row>
    <row r="829" spans="2:7" ht="14.25">
      <c r="B829" s="22">
        <v>828</v>
      </c>
      <c r="C829" s="22" t="s">
        <v>729</v>
      </c>
      <c r="D829" s="22" t="s">
        <v>726</v>
      </c>
      <c r="E829" s="22" t="s">
        <v>60</v>
      </c>
      <c r="F829" s="44" t="s">
        <v>796</v>
      </c>
      <c r="G829" s="44" t="s">
        <v>1403</v>
      </c>
    </row>
    <row r="830" spans="2:7" ht="14.25">
      <c r="B830" s="22">
        <v>829</v>
      </c>
      <c r="C830" s="22" t="s">
        <v>727</v>
      </c>
      <c r="D830" s="22" t="s">
        <v>726</v>
      </c>
      <c r="E830" s="22" t="s">
        <v>60</v>
      </c>
      <c r="F830" s="44" t="s">
        <v>796</v>
      </c>
      <c r="G830" s="44" t="s">
        <v>1401</v>
      </c>
    </row>
    <row r="831" spans="2:7" ht="14.25">
      <c r="B831" s="22">
        <v>830</v>
      </c>
      <c r="C831" s="22" t="s">
        <v>738</v>
      </c>
      <c r="D831" s="22" t="s">
        <v>726</v>
      </c>
      <c r="E831" s="22" t="s">
        <v>60</v>
      </c>
      <c r="F831" s="44" t="s">
        <v>796</v>
      </c>
      <c r="G831" s="44" t="s">
        <v>1416</v>
      </c>
    </row>
    <row r="832" spans="2:7" ht="14.25">
      <c r="B832" s="22">
        <v>831</v>
      </c>
      <c r="C832" s="22" t="s">
        <v>732</v>
      </c>
      <c r="D832" s="22" t="s">
        <v>726</v>
      </c>
      <c r="E832" s="22" t="s">
        <v>60</v>
      </c>
      <c r="F832" s="44" t="s">
        <v>796</v>
      </c>
      <c r="G832" s="44" t="s">
        <v>1409</v>
      </c>
    </row>
    <row r="833" spans="2:7" ht="14.25">
      <c r="B833" s="22">
        <v>832</v>
      </c>
      <c r="C833" s="22" t="s">
        <v>739</v>
      </c>
      <c r="D833" s="22" t="s">
        <v>726</v>
      </c>
      <c r="E833" s="22" t="s">
        <v>60</v>
      </c>
      <c r="F833" s="44" t="s">
        <v>798</v>
      </c>
    </row>
    <row r="834" spans="2:7" ht="14.25">
      <c r="B834" s="22">
        <v>833</v>
      </c>
      <c r="C834" s="22" t="s">
        <v>740</v>
      </c>
      <c r="D834" s="22" t="s">
        <v>726</v>
      </c>
      <c r="E834" s="22" t="s">
        <v>60</v>
      </c>
      <c r="F834" s="44" t="s">
        <v>798</v>
      </c>
    </row>
    <row r="835" spans="2:7" ht="14.25">
      <c r="B835" s="22">
        <v>834</v>
      </c>
      <c r="C835" s="22" t="s">
        <v>741</v>
      </c>
      <c r="D835" s="22" t="s">
        <v>726</v>
      </c>
      <c r="E835" s="22" t="s">
        <v>60</v>
      </c>
      <c r="F835" s="44" t="s">
        <v>796</v>
      </c>
      <c r="G835" s="44" t="s">
        <v>1417</v>
      </c>
    </row>
    <row r="836" spans="2:7" ht="14.25">
      <c r="B836" s="22">
        <v>835</v>
      </c>
      <c r="C836" s="22" t="s">
        <v>742</v>
      </c>
      <c r="D836" s="22" t="s">
        <v>726</v>
      </c>
      <c r="E836" s="22" t="s">
        <v>60</v>
      </c>
      <c r="F836" s="44" t="s">
        <v>798</v>
      </c>
      <c r="G836" s="44" t="s">
        <v>1418</v>
      </c>
    </row>
    <row r="837" spans="2:7" ht="14.25">
      <c r="B837" s="22">
        <v>836</v>
      </c>
      <c r="C837" s="22" t="s">
        <v>743</v>
      </c>
      <c r="D837" s="22" t="s">
        <v>726</v>
      </c>
      <c r="E837" s="22" t="s">
        <v>60</v>
      </c>
      <c r="F837" s="44" t="s">
        <v>797</v>
      </c>
      <c r="G837" s="44" t="s">
        <v>1419</v>
      </c>
    </row>
    <row r="838" spans="2:7" ht="14.25">
      <c r="B838" s="22">
        <v>837</v>
      </c>
      <c r="C838" s="22" t="s">
        <v>744</v>
      </c>
      <c r="D838" s="22" t="s">
        <v>726</v>
      </c>
      <c r="E838" s="22" t="s">
        <v>60</v>
      </c>
      <c r="F838" s="44" t="s">
        <v>798</v>
      </c>
      <c r="G838" s="44" t="s">
        <v>1420</v>
      </c>
    </row>
    <row r="839" spans="2:7" ht="14.25">
      <c r="B839" s="22">
        <v>838</v>
      </c>
      <c r="C839" s="22" t="s">
        <v>745</v>
      </c>
      <c r="D839" s="22" t="s">
        <v>726</v>
      </c>
      <c r="E839" s="22" t="s">
        <v>60</v>
      </c>
      <c r="F839" s="44" t="s">
        <v>798</v>
      </c>
    </row>
    <row r="840" spans="2:7" ht="14.25">
      <c r="B840" s="22">
        <v>839</v>
      </c>
      <c r="C840" s="22" t="s">
        <v>349</v>
      </c>
      <c r="D840" s="22" t="s">
        <v>726</v>
      </c>
      <c r="E840" s="22" t="s">
        <v>60</v>
      </c>
      <c r="F840" s="44" t="s">
        <v>796</v>
      </c>
      <c r="G840" s="44" t="s">
        <v>1092</v>
      </c>
    </row>
    <row r="841" spans="2:7" ht="14.25">
      <c r="B841" s="22">
        <v>840</v>
      </c>
      <c r="C841" s="22" t="s">
        <v>347</v>
      </c>
      <c r="D841" s="22" t="s">
        <v>726</v>
      </c>
      <c r="E841" s="22" t="s">
        <v>60</v>
      </c>
      <c r="F841" s="44" t="s">
        <v>796</v>
      </c>
      <c r="G841" s="44" t="s">
        <v>1090</v>
      </c>
    </row>
    <row r="842" spans="2:7" ht="14.25">
      <c r="B842" s="22">
        <v>841</v>
      </c>
      <c r="C842" s="22" t="s">
        <v>746</v>
      </c>
      <c r="D842" s="22" t="s">
        <v>726</v>
      </c>
      <c r="E842" s="22" t="s">
        <v>60</v>
      </c>
      <c r="F842" s="44" t="s">
        <v>796</v>
      </c>
      <c r="G842" s="44" t="s">
        <v>1421</v>
      </c>
    </row>
    <row r="843" spans="2:7" ht="14.25">
      <c r="B843" s="22">
        <v>842</v>
      </c>
      <c r="C843" s="22" t="s">
        <v>747</v>
      </c>
      <c r="D843" s="22" t="s">
        <v>726</v>
      </c>
      <c r="E843" s="22" t="s">
        <v>60</v>
      </c>
      <c r="F843" s="44" t="s">
        <v>796</v>
      </c>
      <c r="G843" s="44" t="s">
        <v>1422</v>
      </c>
    </row>
    <row r="844" spans="2:7" ht="14.25">
      <c r="B844" s="22">
        <v>843</v>
      </c>
      <c r="C844" s="22" t="s">
        <v>406</v>
      </c>
      <c r="D844" s="22" t="s">
        <v>726</v>
      </c>
      <c r="E844" s="22" t="s">
        <v>60</v>
      </c>
      <c r="F844" s="44" t="s">
        <v>797</v>
      </c>
      <c r="G844" s="44" t="s">
        <v>1140</v>
      </c>
    </row>
    <row r="845" spans="2:7" ht="14.25">
      <c r="B845" s="22">
        <v>844</v>
      </c>
      <c r="C845" s="22" t="s">
        <v>421</v>
      </c>
      <c r="D845" s="22" t="s">
        <v>726</v>
      </c>
      <c r="E845" s="22" t="s">
        <v>60</v>
      </c>
      <c r="F845" s="44" t="s">
        <v>797</v>
      </c>
      <c r="G845" s="44" t="s">
        <v>1405</v>
      </c>
    </row>
    <row r="846" spans="2:7" ht="14.25">
      <c r="B846" s="22">
        <v>845</v>
      </c>
      <c r="C846" s="22" t="s">
        <v>426</v>
      </c>
      <c r="D846" s="22" t="s">
        <v>726</v>
      </c>
      <c r="E846" s="22" t="s">
        <v>60</v>
      </c>
      <c r="F846" s="44" t="s">
        <v>796</v>
      </c>
      <c r="G846" s="44" t="s">
        <v>1423</v>
      </c>
    </row>
    <row r="847" spans="2:7" ht="14.25">
      <c r="B847" s="22">
        <v>846</v>
      </c>
      <c r="C847" s="22" t="s">
        <v>427</v>
      </c>
      <c r="D847" s="22" t="s">
        <v>726</v>
      </c>
      <c r="E847" s="22" t="s">
        <v>60</v>
      </c>
      <c r="F847" s="44" t="s">
        <v>796</v>
      </c>
      <c r="G847" s="44" t="s">
        <v>1162</v>
      </c>
    </row>
    <row r="848" spans="2:7" ht="14.25">
      <c r="B848" s="22">
        <v>847</v>
      </c>
      <c r="C848" s="22" t="s">
        <v>748</v>
      </c>
      <c r="D848" s="22" t="s">
        <v>726</v>
      </c>
      <c r="E848" s="22" t="s">
        <v>60</v>
      </c>
      <c r="F848" s="44" t="s">
        <v>796</v>
      </c>
      <c r="G848" s="44" t="s">
        <v>1424</v>
      </c>
    </row>
    <row r="849" spans="2:7" ht="14.25">
      <c r="B849" s="22">
        <v>848</v>
      </c>
      <c r="C849" s="22" t="s">
        <v>166</v>
      </c>
      <c r="D849" s="22" t="s">
        <v>726</v>
      </c>
      <c r="E849" s="22" t="s">
        <v>60</v>
      </c>
      <c r="F849" s="44" t="s">
        <v>797</v>
      </c>
      <c r="G849" s="44" t="s">
        <v>1425</v>
      </c>
    </row>
    <row r="850" spans="2:7" ht="14.25">
      <c r="B850" s="22">
        <v>849</v>
      </c>
      <c r="C850" s="22" t="s">
        <v>167</v>
      </c>
      <c r="D850" s="22" t="s">
        <v>726</v>
      </c>
      <c r="E850" s="22" t="s">
        <v>60</v>
      </c>
      <c r="F850" s="44" t="s">
        <v>796</v>
      </c>
      <c r="G850" s="44" t="s">
        <v>921</v>
      </c>
    </row>
    <row r="851" spans="2:7" ht="14.25">
      <c r="B851" s="22">
        <v>850</v>
      </c>
      <c r="C851" s="22" t="s">
        <v>575</v>
      </c>
      <c r="D851" s="22" t="s">
        <v>726</v>
      </c>
      <c r="E851" s="22" t="s">
        <v>60</v>
      </c>
      <c r="F851" s="44" t="s">
        <v>796</v>
      </c>
      <c r="G851" s="44" t="s">
        <v>1272</v>
      </c>
    </row>
    <row r="852" spans="2:7" ht="14.25">
      <c r="B852" s="22">
        <v>851</v>
      </c>
      <c r="C852" s="22" t="s">
        <v>39</v>
      </c>
      <c r="D852" s="22" t="s">
        <v>726</v>
      </c>
      <c r="E852" s="22" t="s">
        <v>60</v>
      </c>
      <c r="F852" s="44" t="s">
        <v>796</v>
      </c>
      <c r="G852" s="44" t="s">
        <v>1407</v>
      </c>
    </row>
    <row r="853" spans="2:7" ht="14.25">
      <c r="B853" s="22">
        <v>852</v>
      </c>
      <c r="C853" s="22" t="s">
        <v>733</v>
      </c>
      <c r="D853" s="22" t="s">
        <v>726</v>
      </c>
      <c r="E853" s="22" t="s">
        <v>60</v>
      </c>
      <c r="F853" s="44" t="s">
        <v>796</v>
      </c>
      <c r="G853" s="44" t="s">
        <v>1426</v>
      </c>
    </row>
    <row r="854" spans="2:7" ht="14.25">
      <c r="B854" s="22">
        <v>853</v>
      </c>
      <c r="C854" s="22" t="s">
        <v>749</v>
      </c>
      <c r="D854" s="22" t="s">
        <v>726</v>
      </c>
      <c r="E854" s="22" t="s">
        <v>84</v>
      </c>
      <c r="F854" s="44" t="s">
        <v>796</v>
      </c>
      <c r="G854" s="44" t="s">
        <v>1122</v>
      </c>
    </row>
    <row r="855" spans="2:7" ht="14.25">
      <c r="B855" s="22">
        <v>854</v>
      </c>
      <c r="C855" s="22" t="s">
        <v>710</v>
      </c>
      <c r="D855" s="22" t="s">
        <v>726</v>
      </c>
      <c r="E855" s="22" t="s">
        <v>84</v>
      </c>
      <c r="F855" s="44" t="s">
        <v>797</v>
      </c>
      <c r="G855" s="44" t="s">
        <v>1388</v>
      </c>
    </row>
    <row r="856" spans="2:7" ht="14.25">
      <c r="B856" s="22">
        <v>855</v>
      </c>
      <c r="C856" s="22" t="s">
        <v>750</v>
      </c>
      <c r="D856" s="22" t="s">
        <v>726</v>
      </c>
      <c r="E856" s="22" t="s">
        <v>84</v>
      </c>
      <c r="F856" s="44" t="s">
        <v>797</v>
      </c>
      <c r="G856" s="44" t="s">
        <v>1427</v>
      </c>
    </row>
    <row r="857" spans="2:7" ht="14.25">
      <c r="B857" s="22">
        <v>856</v>
      </c>
      <c r="C857" s="22" t="s">
        <v>751</v>
      </c>
      <c r="D857" s="22" t="s">
        <v>726</v>
      </c>
      <c r="E857" s="22" t="s">
        <v>84</v>
      </c>
      <c r="F857" s="44" t="s">
        <v>796</v>
      </c>
      <c r="G857" s="44" t="s">
        <v>1123</v>
      </c>
    </row>
    <row r="858" spans="2:7" ht="14.25">
      <c r="B858" s="22">
        <v>857</v>
      </c>
      <c r="C858" s="22" t="s">
        <v>752</v>
      </c>
      <c r="D858" s="22" t="s">
        <v>726</v>
      </c>
      <c r="E858" s="22" t="s">
        <v>84</v>
      </c>
      <c r="F858" s="44" t="s">
        <v>798</v>
      </c>
    </row>
    <row r="859" spans="2:7" ht="14.25">
      <c r="B859" s="22">
        <v>858</v>
      </c>
      <c r="C859" s="22" t="s">
        <v>753</v>
      </c>
      <c r="D859" s="22" t="s">
        <v>726</v>
      </c>
      <c r="E859" s="22" t="s">
        <v>84</v>
      </c>
      <c r="F859" s="44" t="s">
        <v>798</v>
      </c>
    </row>
    <row r="860" spans="2:7" ht="14.25">
      <c r="B860" s="22">
        <v>859</v>
      </c>
      <c r="C860" s="22" t="s">
        <v>57</v>
      </c>
      <c r="D860" s="22" t="s">
        <v>726</v>
      </c>
      <c r="E860" s="22" t="s">
        <v>84</v>
      </c>
      <c r="F860" s="44" t="s">
        <v>796</v>
      </c>
      <c r="G860" s="44" t="s">
        <v>1406</v>
      </c>
    </row>
    <row r="861" spans="2:7" ht="14.25">
      <c r="B861" s="22">
        <v>860</v>
      </c>
      <c r="C861" s="22" t="s">
        <v>754</v>
      </c>
      <c r="D861" s="22" t="s">
        <v>726</v>
      </c>
      <c r="E861" s="22" t="s">
        <v>84</v>
      </c>
      <c r="F861" s="44" t="s">
        <v>798</v>
      </c>
    </row>
    <row r="862" spans="2:7" ht="14.25">
      <c r="B862" s="22">
        <v>861</v>
      </c>
      <c r="C862" s="22" t="s">
        <v>755</v>
      </c>
      <c r="D862" s="22" t="s">
        <v>726</v>
      </c>
      <c r="E862" s="22" t="s">
        <v>84</v>
      </c>
      <c r="F862" s="44" t="s">
        <v>798</v>
      </c>
    </row>
    <row r="863" spans="2:7" ht="14.25">
      <c r="B863" s="22">
        <v>862</v>
      </c>
      <c r="C863" s="22" t="s">
        <v>756</v>
      </c>
      <c r="D863" s="22" t="s">
        <v>726</v>
      </c>
      <c r="E863" s="22" t="s">
        <v>84</v>
      </c>
      <c r="F863" s="44" t="s">
        <v>796</v>
      </c>
      <c r="G863" s="44" t="s">
        <v>1145</v>
      </c>
    </row>
    <row r="864" spans="2:7" ht="14.25">
      <c r="B864" s="22">
        <v>863</v>
      </c>
      <c r="C864" s="22" t="s">
        <v>757</v>
      </c>
      <c r="D864" s="22" t="s">
        <v>726</v>
      </c>
      <c r="E864" s="22" t="s">
        <v>84</v>
      </c>
      <c r="F864" s="44" t="s">
        <v>796</v>
      </c>
      <c r="G864" s="44" t="s">
        <v>1428</v>
      </c>
    </row>
    <row r="865" spans="2:7" ht="14.25">
      <c r="B865" s="22">
        <v>864</v>
      </c>
      <c r="C865" s="22" t="s">
        <v>758</v>
      </c>
      <c r="D865" s="22" t="s">
        <v>726</v>
      </c>
      <c r="E865" s="22" t="s">
        <v>84</v>
      </c>
      <c r="F865" s="44" t="s">
        <v>798</v>
      </c>
      <c r="G865" s="44" t="s">
        <v>1429</v>
      </c>
    </row>
    <row r="866" spans="2:7" ht="14.25">
      <c r="B866" s="22">
        <v>865</v>
      </c>
      <c r="C866" s="22" t="s">
        <v>759</v>
      </c>
      <c r="D866" s="22" t="s">
        <v>726</v>
      </c>
      <c r="E866" s="22" t="s">
        <v>84</v>
      </c>
      <c r="F866" s="44" t="s">
        <v>798</v>
      </c>
      <c r="G866" s="44" t="s">
        <v>1430</v>
      </c>
    </row>
    <row r="867" spans="2:7" ht="14.25">
      <c r="B867" s="22">
        <v>866</v>
      </c>
      <c r="C867" s="22" t="s">
        <v>760</v>
      </c>
      <c r="D867" s="22" t="s">
        <v>726</v>
      </c>
      <c r="E867" s="22" t="s">
        <v>84</v>
      </c>
      <c r="F867" s="44" t="s">
        <v>796</v>
      </c>
      <c r="G867" s="44" t="s">
        <v>1431</v>
      </c>
    </row>
    <row r="868" spans="2:7" ht="14.25">
      <c r="B868" s="22">
        <v>867</v>
      </c>
      <c r="C868" s="22" t="s">
        <v>38</v>
      </c>
      <c r="D868" s="22" t="s">
        <v>726</v>
      </c>
      <c r="E868" s="22" t="s">
        <v>84</v>
      </c>
      <c r="F868" s="44" t="s">
        <v>796</v>
      </c>
      <c r="G868" s="44" t="s">
        <v>801</v>
      </c>
    </row>
    <row r="869" spans="2:7" ht="14.25">
      <c r="B869" s="22">
        <v>868</v>
      </c>
      <c r="C869" s="22" t="s">
        <v>761</v>
      </c>
      <c r="D869" s="22" t="s">
        <v>726</v>
      </c>
      <c r="E869" s="22" t="s">
        <v>84</v>
      </c>
      <c r="F869" s="44" t="s">
        <v>796</v>
      </c>
      <c r="G869" s="44" t="s">
        <v>1432</v>
      </c>
    </row>
    <row r="870" spans="2:7" ht="14.25">
      <c r="B870" s="22">
        <v>869</v>
      </c>
      <c r="C870" s="22" t="s">
        <v>746</v>
      </c>
      <c r="D870" s="22" t="s">
        <v>726</v>
      </c>
      <c r="E870" s="22" t="s">
        <v>84</v>
      </c>
      <c r="F870" s="44" t="s">
        <v>796</v>
      </c>
      <c r="G870" s="44" t="s">
        <v>1421</v>
      </c>
    </row>
    <row r="871" spans="2:7" ht="14.25">
      <c r="B871" s="22">
        <v>870</v>
      </c>
      <c r="C871" s="22" t="s">
        <v>762</v>
      </c>
      <c r="D871" s="22" t="s">
        <v>726</v>
      </c>
      <c r="E871" s="22" t="s">
        <v>105</v>
      </c>
      <c r="F871" s="44" t="s">
        <v>797</v>
      </c>
      <c r="G871" s="44" t="s">
        <v>1433</v>
      </c>
    </row>
    <row r="872" spans="2:7" ht="14.25">
      <c r="B872" s="22">
        <v>871</v>
      </c>
      <c r="C872" s="22" t="s">
        <v>763</v>
      </c>
      <c r="D872" s="22" t="s">
        <v>726</v>
      </c>
      <c r="E872" s="22" t="s">
        <v>105</v>
      </c>
      <c r="F872" s="44" t="s">
        <v>797</v>
      </c>
      <c r="G872" s="44" t="s">
        <v>1434</v>
      </c>
    </row>
    <row r="873" spans="2:7" ht="14.25">
      <c r="B873" s="22">
        <v>872</v>
      </c>
      <c r="C873" s="22" t="s">
        <v>644</v>
      </c>
      <c r="D873" s="22" t="s">
        <v>726</v>
      </c>
      <c r="E873" s="22" t="s">
        <v>105</v>
      </c>
      <c r="F873" s="44" t="s">
        <v>796</v>
      </c>
      <c r="G873" s="44" t="s">
        <v>1333</v>
      </c>
    </row>
    <row r="874" spans="2:7" ht="14.25">
      <c r="B874" s="22">
        <v>873</v>
      </c>
      <c r="C874" s="22" t="s">
        <v>764</v>
      </c>
      <c r="D874" s="22" t="s">
        <v>726</v>
      </c>
      <c r="E874" s="22" t="s">
        <v>105</v>
      </c>
      <c r="F874" s="44" t="s">
        <v>796</v>
      </c>
      <c r="G874" s="44" t="s">
        <v>1435</v>
      </c>
    </row>
    <row r="875" spans="2:7" ht="14.25">
      <c r="B875" s="22">
        <v>874</v>
      </c>
      <c r="C875" s="22" t="s">
        <v>765</v>
      </c>
      <c r="D875" s="22" t="s">
        <v>726</v>
      </c>
      <c r="E875" s="22" t="s">
        <v>105</v>
      </c>
      <c r="F875" s="44" t="s">
        <v>796</v>
      </c>
      <c r="G875" s="44" t="s">
        <v>1436</v>
      </c>
    </row>
  </sheetData>
  <autoFilter ref="A1:H875" xr:uid="{00000000-0009-0000-0000-000001000000}"/>
  <dataValidations count="1">
    <dataValidation type="list" allowBlank="1" sqref="F2:F875" xr:uid="{00000000-0002-0000-0100-000000000000}">
      <formula1>"✓,?,✗"</formula1>
    </dataValidation>
  </dataValidations>
  <pageMargins left="0.75" right="0.75" top="1" bottom="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54"/>
  <sheetViews>
    <sheetView showGridLines="0" workbookViewId="0"/>
  </sheetViews>
  <sheetFormatPr defaultColWidth="14.3984375" defaultRowHeight="15" customHeight="1"/>
  <cols>
    <col min="1" max="1" width="8.73046875" customWidth="1"/>
    <col min="2" max="2" width="31.1328125" customWidth="1"/>
    <col min="3" max="4" width="10" customWidth="1"/>
    <col min="5" max="5" width="12" customWidth="1"/>
    <col min="6" max="6" width="14" customWidth="1"/>
    <col min="7" max="7" width="10" customWidth="1"/>
    <col min="8" max="18" width="8.73046875" customWidth="1"/>
  </cols>
  <sheetData>
    <row r="2" spans="2:16" ht="29.65">
      <c r="B2" s="38" t="s">
        <v>766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4" spans="2:16" ht="17.25">
      <c r="B4" s="40" t="s">
        <v>767</v>
      </c>
      <c r="C4" s="39"/>
    </row>
    <row r="5" spans="2:16" ht="14.25">
      <c r="O5" s="24"/>
    </row>
    <row r="6" spans="2:16" ht="14.25">
      <c r="B6" s="25" t="s">
        <v>768</v>
      </c>
      <c r="C6" s="26" t="s">
        <v>769</v>
      </c>
    </row>
    <row r="7" spans="2:16" ht="14.25">
      <c r="B7" s="25" t="s">
        <v>770</v>
      </c>
      <c r="C7" s="26">
        <f>COUNTIF('📝 Vocabulary Test'!F:F,"✓")</f>
        <v>484</v>
      </c>
    </row>
    <row r="8" spans="2:16" ht="14.25">
      <c r="B8" s="25" t="s">
        <v>771</v>
      </c>
      <c r="C8" s="26">
        <f>COUNTIF('📝 Vocabulary Test'!$F$2:$F$875,"~?")</f>
        <v>204</v>
      </c>
    </row>
    <row r="9" spans="2:16" ht="14.25">
      <c r="B9" s="25" t="s">
        <v>772</v>
      </c>
      <c r="C9" s="26">
        <f>COUNTIF('📝 Vocabulary Test'!F:F,"✗")</f>
        <v>186</v>
      </c>
    </row>
    <row r="10" spans="2:16" ht="14.25">
      <c r="B10" s="25" t="s">
        <v>773</v>
      </c>
      <c r="C10" s="26">
        <f>874-COUNTA('📝 Vocabulary Test'!F2:F875)</f>
        <v>0</v>
      </c>
    </row>
    <row r="12" spans="2:16" ht="20.25">
      <c r="B12" s="25" t="s">
        <v>774</v>
      </c>
      <c r="C12" s="27">
        <f>IF(C7=0,"0%",C7/C6)</f>
        <v>0.55377574370709381</v>
      </c>
      <c r="P12" s="28"/>
    </row>
    <row r="13" spans="2:16" ht="14.25">
      <c r="P13" s="28"/>
    </row>
    <row r="15" spans="2:16" ht="15.4">
      <c r="B15" s="41"/>
      <c r="C15" s="39"/>
      <c r="D15" s="39"/>
      <c r="E15" s="39"/>
    </row>
    <row r="18" spans="2:7" ht="17.25">
      <c r="B18" s="23" t="s">
        <v>775</v>
      </c>
    </row>
    <row r="19" spans="2:7" ht="15.75" customHeight="1">
      <c r="B19" s="29" t="s">
        <v>29</v>
      </c>
      <c r="C19" s="29" t="s">
        <v>776</v>
      </c>
      <c r="D19" s="29" t="s">
        <v>777</v>
      </c>
      <c r="E19" s="29" t="s">
        <v>778</v>
      </c>
      <c r="F19" s="29" t="s">
        <v>779</v>
      </c>
      <c r="G19" s="29" t="s">
        <v>780</v>
      </c>
    </row>
    <row r="20" spans="2:7" ht="15.75" customHeight="1">
      <c r="B20" s="22" t="s">
        <v>35</v>
      </c>
      <c r="C20" s="22">
        <f>COUNTIF('📝 Vocabulary Test'!D:D,"Asmens tapatybė")</f>
        <v>72</v>
      </c>
      <c r="D20" s="22">
        <f>COUNTIFS('📝 Vocabulary Test'!D:D,"Asmens tapatybė",'📝 Vocabulary Test'!F:F,"✓")</f>
        <v>37</v>
      </c>
      <c r="E20" s="22">
        <f>COUNTIFS('📝 Vocabulary Test'!$D$2:$D$875,"Asmens tapatybė",'📝 Vocabulary Test'!$F$2:$F$875,"~?")</f>
        <v>21</v>
      </c>
      <c r="F20" s="22">
        <f>COUNTIFS('📝 Vocabulary Test'!$D$2:$D$875,"Asmens tapatybė",'📝 Vocabulary Test'!$F$2:$F$875,"✗")</f>
        <v>14</v>
      </c>
      <c r="G20" s="30">
        <f t="shared" ref="G20:G31" si="0">IF(C20=0,"0%",D20/C20)</f>
        <v>0.51388888888888884</v>
      </c>
    </row>
    <row r="21" spans="2:7" ht="15.75" customHeight="1">
      <c r="B21" s="22" t="s">
        <v>112</v>
      </c>
      <c r="C21" s="22">
        <f>COUNTIF('📝 Vocabulary Test'!D:D,"Būstas")</f>
        <v>66</v>
      </c>
      <c r="D21" s="22">
        <f>COUNTIFS('📝 Vocabulary Test'!$D$2:$D$875,"Būstas",'📝 Vocabulary Test'!$F$2:$F$875,"✓")</f>
        <v>36</v>
      </c>
      <c r="E21" s="22">
        <f>COUNTIFS('📝 Vocabulary Test'!$D$2:$D$875,"Būstas",'📝 Vocabulary Test'!$F$2:$F$875,"~?")</f>
        <v>18</v>
      </c>
      <c r="F21" s="22">
        <f>COUNTIFS('📝 Vocabulary Test'!$D$2:$D$875,"Būstas",'📝 Vocabulary Test'!$F$2:$F$875,"✗")</f>
        <v>12</v>
      </c>
      <c r="G21" s="30">
        <f t="shared" si="0"/>
        <v>0.54545454545454541</v>
      </c>
    </row>
    <row r="22" spans="2:7" ht="15.75" customHeight="1">
      <c r="B22" s="22" t="s">
        <v>175</v>
      </c>
      <c r="C22" s="22">
        <f>COUNTIF('📝 Vocabulary Test'!D:D,"Gamta.Regionas")</f>
        <v>67</v>
      </c>
      <c r="D22" s="22">
        <f>COUNTIFS('📝 Vocabulary Test'!$D$2:$D$875,"Gamta.Regionas",'📝 Vocabulary Test'!$F$2:$F$875,"✓")</f>
        <v>39</v>
      </c>
      <c r="E22" s="22">
        <f>COUNTIFS('📝 Vocabulary Test'!$D$2:$D$875,"Gamta.Regionas",'📝 Vocabulary Test'!$F$2:$F$875,"~?")</f>
        <v>20</v>
      </c>
      <c r="F22" s="22">
        <f>COUNTIFS('📝 Vocabulary Test'!$D$2:$D$875,"Gamta.Regionas",'📝 Vocabulary Test'!$F$2:$F$875,"✗")</f>
        <v>8</v>
      </c>
      <c r="G22" s="30">
        <f t="shared" si="0"/>
        <v>0.58208955223880599</v>
      </c>
    </row>
    <row r="23" spans="2:7" ht="15.75" customHeight="1">
      <c r="B23" s="22" t="s">
        <v>236</v>
      </c>
      <c r="C23" s="22">
        <f>COUNTIF('📝 Vocabulary Test'!D:D,"Kasdienis gyvenimas")</f>
        <v>80</v>
      </c>
      <c r="D23" s="22">
        <f>COUNTIFS('📝 Vocabulary Test'!$D$2:$D$875,"Kasdienis gyvenimas",'📝 Vocabulary Test'!$F$2:$F$875,"✓")</f>
        <v>42</v>
      </c>
      <c r="E23" s="22">
        <f>COUNTIFS('📝 Vocabulary Test'!$D$2:$D$875,"Kasdienis gyvenimas",'📝 Vocabulary Test'!$F$2:$F$875,"~?")</f>
        <v>18</v>
      </c>
      <c r="F23" s="22">
        <f>COUNTIFS('📝 Vocabulary Test'!$D$2:$D$875,"Kasdienis gyvenimas",'📝 Vocabulary Test'!$F$2:$F$875,"✗")</f>
        <v>20</v>
      </c>
      <c r="G23" s="30">
        <f t="shared" si="0"/>
        <v>0.52500000000000002</v>
      </c>
    </row>
    <row r="24" spans="2:7" ht="15.75" customHeight="1">
      <c r="B24" s="22" t="s">
        <v>363</v>
      </c>
      <c r="C24" s="22">
        <f>COUNTIF('📝 Vocabulary Test'!D:D,"Kelionės")</f>
        <v>69</v>
      </c>
      <c r="D24" s="22">
        <f>COUNTIFS('📝 Vocabulary Test'!$D$2:$D$875,"Kelionės",'📝 Vocabulary Test'!$F$2:$F$875,"✓")</f>
        <v>36</v>
      </c>
      <c r="E24" s="22">
        <f>COUNTIFS('📝 Vocabulary Test'!$D$2:$D$875,"Kelionės",'📝 Vocabulary Test'!$F$2:$F$875,"~?")</f>
        <v>17</v>
      </c>
      <c r="F24" s="22">
        <f>COUNTIFS('📝 Vocabulary Test'!$D$2:$D$875,"Kelionės",'📝 Vocabulary Test'!$F$2:$F$875,"✗")</f>
        <v>16</v>
      </c>
      <c r="G24" s="30">
        <f t="shared" si="0"/>
        <v>0.52173913043478259</v>
      </c>
    </row>
    <row r="25" spans="2:7" ht="15.75" customHeight="1">
      <c r="B25" s="22" t="s">
        <v>304</v>
      </c>
      <c r="C25" s="22">
        <f>COUNTIF('📝 Vocabulary Test'!D:D,"Laisvalaikis")</f>
        <v>64</v>
      </c>
      <c r="D25" s="22">
        <f>COUNTIFS('📝 Vocabulary Test'!$D$2:$D$875,"Laisvalaikis",'📝 Vocabulary Test'!$F$2:$F$875,"✓")</f>
        <v>34</v>
      </c>
      <c r="E25" s="22">
        <f>COUNTIFS('📝 Vocabulary Test'!$D$2:$D$875,"Laisvalaikis",'📝 Vocabulary Test'!$F$2:$F$875,"~?")</f>
        <v>14</v>
      </c>
      <c r="F25" s="22">
        <f>COUNTIFS('📝 Vocabulary Test'!$D$2:$D$875,"Laisvalaikis",'📝 Vocabulary Test'!$F$2:$F$875,"✗")</f>
        <v>16</v>
      </c>
      <c r="G25" s="30">
        <f t="shared" si="0"/>
        <v>0.53125</v>
      </c>
    </row>
    <row r="26" spans="2:7" ht="15.75" customHeight="1">
      <c r="B26" s="22" t="s">
        <v>652</v>
      </c>
      <c r="C26" s="22">
        <f>COUNTIF('📝 Vocabulary Test'!D:D,"Maistas ir gėrimai")</f>
        <v>88</v>
      </c>
      <c r="D26" s="22">
        <f>COUNTIFS('📝 Vocabulary Test'!$D$2:$D$875,"Maistas ir gėrimai",'📝 Vocabulary Test'!$F$2:$F$875,"✓")</f>
        <v>63</v>
      </c>
      <c r="E26" s="22">
        <f>COUNTIFS('📝 Vocabulary Test'!$D$2:$D$875,"Maistas ir gėrimai",'📝 Vocabulary Test'!$F$2:$F$875,"~?")</f>
        <v>15</v>
      </c>
      <c r="F26" s="22">
        <f>COUNTIFS('📝 Vocabulary Test'!$D$2:$D$875,"Maistas ir gėrimai",'📝 Vocabulary Test'!$F$2:$F$875,"✗")</f>
        <v>10</v>
      </c>
      <c r="G26" s="30">
        <f t="shared" si="0"/>
        <v>0.71590909090909094</v>
      </c>
    </row>
    <row r="27" spans="2:7" ht="15.75" customHeight="1">
      <c r="B27" s="22" t="s">
        <v>726</v>
      </c>
      <c r="C27" s="22">
        <f>COUNTIF('📝 Vocabulary Test'!D:D,"Paslaugos")</f>
        <v>70</v>
      </c>
      <c r="D27" s="22">
        <f>COUNTIFS('📝 Vocabulary Test'!$D$2:$D$875,"Paslaugos",'📝 Vocabulary Test'!$F$2:$F$875,"✓")</f>
        <v>45</v>
      </c>
      <c r="E27" s="22">
        <f>COUNTIFS('📝 Vocabulary Test'!$D$2:$D$875,"Paslaugos",'📝 Vocabulary Test'!$F$2:$F$875,"~?")</f>
        <v>14</v>
      </c>
      <c r="F27" s="22">
        <f>COUNTIFS('📝 Vocabulary Test'!D:D,"Paslaugos",'📝 Vocabulary Test'!F:F,"✗")</f>
        <v>11</v>
      </c>
      <c r="G27" s="30">
        <f t="shared" si="0"/>
        <v>0.6428571428571429</v>
      </c>
    </row>
    <row r="28" spans="2:7" ht="15.75" customHeight="1">
      <c r="B28" s="22" t="s">
        <v>598</v>
      </c>
      <c r="C28" s="22">
        <f>COUNTIF('📝 Vocabulary Test'!D:D,"Prekyba")</f>
        <v>73</v>
      </c>
      <c r="D28" s="22">
        <f>COUNTIFS('📝 Vocabulary Test'!$D$2:$D$875,"Prekyba",'📝 Vocabulary Test'!$F$2:$F$875,"✓")</f>
        <v>45</v>
      </c>
      <c r="E28" s="22">
        <f>COUNTIFS('📝 Vocabulary Test'!$D$2:$D$875,"Prekyba",'📝 Vocabulary Test'!$F$2:$F$875,"~?")</f>
        <v>15</v>
      </c>
      <c r="F28" s="22">
        <f>COUNTIFS('📝 Vocabulary Test'!$D$2:$D$875,"Prekyba",'📝 Vocabulary Test'!$F$2:$F$875,"✗")</f>
        <v>13</v>
      </c>
      <c r="G28" s="30">
        <f t="shared" si="0"/>
        <v>0.61643835616438358</v>
      </c>
    </row>
    <row r="29" spans="2:7" ht="15.75" customHeight="1">
      <c r="B29" s="22" t="s">
        <v>419</v>
      </c>
      <c r="C29" s="22">
        <f>COUNTIF('📝 Vocabulary Test'!D:D,"Santykiai su žmonėmis")</f>
        <v>78</v>
      </c>
      <c r="D29" s="22">
        <f>COUNTIFS('📝 Vocabulary Test'!$D$2:$D$875,"Santykiai su žmonėmis",'📝 Vocabulary Test'!$F$2:$F$875,"✓")</f>
        <v>37</v>
      </c>
      <c r="E29" s="22">
        <f>COUNTIFS('📝 Vocabulary Test'!$D$2:$D$875,"Santykiai su žmonėmis",'📝 Vocabulary Test'!$F$2:$F$875,"~?")</f>
        <v>15</v>
      </c>
      <c r="F29" s="22">
        <f>COUNTIFS('📝 Vocabulary Test'!$D$2:$D$875,"Santykiai su žmonėmis",'📝 Vocabulary Test'!$F$2:$F$875,"✗")</f>
        <v>26</v>
      </c>
      <c r="G29" s="30">
        <f t="shared" si="0"/>
        <v>0.47435897435897434</v>
      </c>
    </row>
    <row r="30" spans="2:7" ht="15.75" customHeight="1">
      <c r="B30" s="22" t="s">
        <v>476</v>
      </c>
      <c r="C30" s="22">
        <f>COUNTIF('📝 Vocabulary Test'!D:D,"Sveikata ir higiena")</f>
        <v>71</v>
      </c>
      <c r="D30" s="22">
        <f>COUNTIFS('📝 Vocabulary Test'!$D$2:$D$875,"Sveikata ir higiena",'📝 Vocabulary Test'!$F$2:$F$875,"✓")</f>
        <v>33</v>
      </c>
      <c r="E30" s="22">
        <f>COUNTIFS('📝 Vocabulary Test'!$D$2:$D$875,"Sveikata ir higiena",'📝 Vocabulary Test'!$F$2:$F$875,"~?")</f>
        <v>27</v>
      </c>
      <c r="F30" s="22">
        <f>COUNTIFS('📝 Vocabulary Test'!$D$2:$D$875,"Sveikata ir higiena",'📝 Vocabulary Test'!$F$2:$F$875,"✗")</f>
        <v>11</v>
      </c>
      <c r="G30" s="30">
        <f t="shared" si="0"/>
        <v>0.46478873239436619</v>
      </c>
    </row>
    <row r="31" spans="2:7" ht="15.75" customHeight="1">
      <c r="B31" s="22" t="s">
        <v>536</v>
      </c>
      <c r="C31" s="22">
        <f>COUNTIF('📝 Vocabulary Test'!D:D,"Švietimas ir mokslas")</f>
        <v>76</v>
      </c>
      <c r="D31" s="22">
        <f>COUNTIFS('📝 Vocabulary Test'!$D$2:$D$875,"Švietimas ir mokslas",'📝 Vocabulary Test'!$F$2:$F$875,"✓")</f>
        <v>37</v>
      </c>
      <c r="E31" s="22">
        <f>COUNTIFS('📝 Vocabulary Test'!$D$2:$D$875,"Švietimas ir mokslas",'📝 Vocabulary Test'!$F$2:$F$875,"~?")</f>
        <v>10</v>
      </c>
      <c r="F31" s="22">
        <f>COUNTIFS('📝 Vocabulary Test'!$D$2:$D$875,"Švietimas ir mokslas",'📝 Vocabulary Test'!$F$2:$F$875,"✗")</f>
        <v>29</v>
      </c>
      <c r="G31" s="30">
        <f t="shared" si="0"/>
        <v>0.48684210526315791</v>
      </c>
    </row>
    <row r="32" spans="2:7" ht="15.75" customHeight="1"/>
    <row r="33" spans="2:7" ht="15.75" customHeight="1"/>
    <row r="34" spans="2:7" ht="15.75" customHeight="1"/>
    <row r="35" spans="2:7" ht="15.75" customHeight="1"/>
    <row r="36" spans="2:7" ht="15.75" customHeight="1">
      <c r="B36" s="23" t="s">
        <v>781</v>
      </c>
    </row>
    <row r="37" spans="2:7" ht="15.75" customHeight="1">
      <c r="B37" s="31" t="s">
        <v>29</v>
      </c>
      <c r="C37" s="31" t="s">
        <v>776</v>
      </c>
      <c r="D37" s="31" t="s">
        <v>777</v>
      </c>
      <c r="E37" s="31" t="s">
        <v>778</v>
      </c>
      <c r="F37" s="31" t="s">
        <v>779</v>
      </c>
      <c r="G37" s="31" t="s">
        <v>780</v>
      </c>
    </row>
    <row r="38" spans="2:7" ht="15.75" customHeight="1">
      <c r="B38" s="32" t="s">
        <v>782</v>
      </c>
      <c r="C38" s="22">
        <f>COUNTIF('📝 Vocabulary Test'!E:E,"Tier 1")</f>
        <v>262</v>
      </c>
      <c r="D38" s="22">
        <f>COUNTIFS('📝 Vocabulary Test'!$E$2:$E$875,"Tier 1",'📝 Vocabulary Test'!$F$2:$F$875,"✓")</f>
        <v>181</v>
      </c>
      <c r="E38" s="22">
        <f>COUNTIFS('📝 Vocabulary Test'!$E$2:$E$875,"Tier 1",'📝 Vocabulary Test'!$F$2:$F$875,"~?")</f>
        <v>58</v>
      </c>
      <c r="F38" s="22">
        <f>COUNTIFS('📝 Vocabulary Test'!$E$2:$E$875,"Tier 1",'📝 Vocabulary Test'!$F$2:$F$875,"✗")</f>
        <v>23</v>
      </c>
      <c r="G38" s="30">
        <f t="shared" ref="G38:G41" si="1">IF(C38=0,"0%",D38/C38)</f>
        <v>0.69083969465648853</v>
      </c>
    </row>
    <row r="39" spans="2:7" ht="15.75" customHeight="1">
      <c r="B39" s="33" t="s">
        <v>783</v>
      </c>
      <c r="C39" s="22">
        <f>COUNTIF('📝 Vocabulary Test'!E:E,"Tier 2")</f>
        <v>346</v>
      </c>
      <c r="D39" s="22">
        <f>COUNTIFS('📝 Vocabulary Test'!$E$2:$E$875,"Tier 2",'📝 Vocabulary Test'!$F$2:$F$875,"✓")</f>
        <v>199</v>
      </c>
      <c r="E39" s="22">
        <f>COUNTIFS('📝 Vocabulary Test'!$E$2:$E$875,"Tier 2",'📝 Vocabulary Test'!$F$2:$F$875,"~?")</f>
        <v>88</v>
      </c>
      <c r="F39" s="22">
        <f>COUNTIFS('📝 Vocabulary Test'!$E$2:$E$875,"Tier 2",'📝 Vocabulary Test'!$F$2:$F$875,"✗")</f>
        <v>59</v>
      </c>
      <c r="G39" s="30">
        <f t="shared" si="1"/>
        <v>0.57514450867052025</v>
      </c>
    </row>
    <row r="40" spans="2:7" ht="15.75" customHeight="1">
      <c r="B40" s="33" t="s">
        <v>784</v>
      </c>
      <c r="C40" s="22">
        <f>COUNTIF('📝 Vocabulary Test'!E:E,"Tier 3")</f>
        <v>203</v>
      </c>
      <c r="D40" s="22">
        <f>COUNTIFS('📝 Vocabulary Test'!$E$2:$E$875,"Tier 3",'📝 Vocabulary Test'!$F$2:$F$875,"✓")</f>
        <v>86</v>
      </c>
      <c r="E40" s="22">
        <f>COUNTIFS('📝 Vocabulary Test'!$E$2:$E$875,"Tier 3",'📝 Vocabulary Test'!$F$2:$F$875,"~?")</f>
        <v>40</v>
      </c>
      <c r="F40" s="22">
        <f>COUNTIFS('📝 Vocabulary Test'!$E$2:$E$875,"Tier 3",'📝 Vocabulary Test'!$F$2:$F$875,"✗")</f>
        <v>77</v>
      </c>
      <c r="G40" s="30">
        <f t="shared" si="1"/>
        <v>0.42364532019704432</v>
      </c>
    </row>
    <row r="41" spans="2:7" ht="15.75" customHeight="1">
      <c r="B41" s="33" t="s">
        <v>785</v>
      </c>
      <c r="C41" s="22">
        <f>COUNTIF('📝 Vocabulary Test'!E:E,"Tier 4")</f>
        <v>63</v>
      </c>
      <c r="D41" s="22">
        <f>COUNTIFS('📝 Vocabulary Test'!$E$2:$E$875,"Tier 4",'📝 Vocabulary Test'!$F$2:$F$875,"✓")</f>
        <v>18</v>
      </c>
      <c r="E41" s="22">
        <f>COUNTIFS('📝 Vocabulary Test'!$E$2:$E$875,"Tier 4",'📝 Vocabulary Test'!$F$2:$F$875,"~?")</f>
        <v>18</v>
      </c>
      <c r="F41" s="22">
        <f>COUNTIFS('📝 Vocabulary Test'!$E$2:$E$875,"Tier 4",'📝 Vocabulary Test'!$F$2:$F$875,"✗")</f>
        <v>27</v>
      </c>
      <c r="G41" s="30">
        <f t="shared" si="1"/>
        <v>0.2857142857142857</v>
      </c>
    </row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</sheetData>
  <mergeCells count="3">
    <mergeCell ref="B2:L2"/>
    <mergeCell ref="B4:C4"/>
    <mergeCell ref="B15:E15"/>
  </mergeCells>
  <pageMargins left="1" right="1" top="0.75" bottom="0.75" header="0" footer="0"/>
  <pageSetup paperSize="9"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35"/>
  <sheetViews>
    <sheetView showGridLines="0" workbookViewId="0"/>
  </sheetViews>
  <sheetFormatPr defaultColWidth="14.3984375" defaultRowHeight="15" customHeight="1"/>
  <cols>
    <col min="1" max="1" width="8.73046875" customWidth="1"/>
    <col min="2" max="2" width="81" customWidth="1"/>
    <col min="3" max="5" width="8.73046875" customWidth="1"/>
  </cols>
  <sheetData>
    <row r="2" spans="2:5" ht="20.25">
      <c r="B2" s="42" t="s">
        <v>786</v>
      </c>
      <c r="C2" s="39"/>
      <c r="D2" s="39"/>
      <c r="E2" s="39"/>
    </row>
    <row r="4" spans="2:5" ht="15.4">
      <c r="B4" s="34" t="s">
        <v>787</v>
      </c>
    </row>
    <row r="5" spans="2:5" ht="14.25">
      <c r="B5" s="35" t="s">
        <v>788</v>
      </c>
    </row>
    <row r="7" spans="2:5" ht="15.4">
      <c r="B7" s="36" t="s">
        <v>789</v>
      </c>
    </row>
    <row r="8" spans="2:5" ht="14.25">
      <c r="B8" s="35" t="s">
        <v>790</v>
      </c>
    </row>
    <row r="19" spans="2:5" ht="15.75" customHeight="1"/>
    <row r="20" spans="2:5" ht="15.75" customHeight="1"/>
    <row r="21" spans="2:5" ht="15.75" customHeight="1"/>
    <row r="22" spans="2:5" ht="15.75" customHeight="1"/>
    <row r="23" spans="2:5" ht="15.75" customHeight="1"/>
    <row r="24" spans="2:5" ht="15.75" customHeight="1"/>
    <row r="25" spans="2:5" ht="15.75" customHeight="1"/>
    <row r="26" spans="2:5" ht="15.75" customHeight="1"/>
    <row r="27" spans="2:5" ht="15.75" customHeight="1"/>
    <row r="28" spans="2:5" ht="15.75" customHeight="1">
      <c r="B28" s="43" t="s">
        <v>791</v>
      </c>
      <c r="C28" s="39"/>
      <c r="D28" s="39"/>
      <c r="E28" s="39"/>
    </row>
    <row r="29" spans="2:5" ht="15.75" customHeight="1">
      <c r="B29" s="37" t="s">
        <v>3</v>
      </c>
    </row>
    <row r="30" spans="2:5" ht="15.75" customHeight="1">
      <c r="B30" s="37" t="s">
        <v>792</v>
      </c>
    </row>
    <row r="31" spans="2:5" ht="15.75" customHeight="1">
      <c r="B31" s="37" t="s">
        <v>793</v>
      </c>
    </row>
    <row r="32" spans="2:5" ht="15.75" customHeight="1">
      <c r="B32" s="37" t="s">
        <v>794</v>
      </c>
    </row>
    <row r="33" spans="2:2" ht="15.75" customHeight="1">
      <c r="B33" s="37" t="s">
        <v>795</v>
      </c>
    </row>
    <row r="34" spans="2:2" ht="15.75" customHeight="1"/>
    <row r="35" spans="2:2" ht="15.75" customHeight="1"/>
  </sheetData>
  <mergeCells count="2">
    <mergeCell ref="B2:E2"/>
    <mergeCell ref="B28:E28"/>
  </mergeCells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📌 Instructions</vt:lpstr>
      <vt:lpstr>📝 Vocabulary Test</vt:lpstr>
      <vt:lpstr>📊 Results</vt:lpstr>
      <vt:lpstr>🚀 Study Priorities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Wilson</cp:lastModifiedBy>
  <dcterms:created xsi:type="dcterms:W3CDTF">2025-11-06T07:10:01Z</dcterms:created>
  <dcterms:modified xsi:type="dcterms:W3CDTF">2026-05-06T22:27:57Z</dcterms:modified>
</cp:coreProperties>
</file>